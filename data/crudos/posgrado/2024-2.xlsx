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<sst xmlns="http://schemas.openxmlformats.org/spreadsheetml/2006/main" uniqueCount="885">
  <si>
    <t>Año Académico</t>
  </si>
  <si>
    <t>es igual a</t>
  </si>
  <si>
    <t>Período Lectivo</t>
  </si>
  <si>
    <t>EEYN - POSGRADO - 2do Cuatrimestre</t>
  </si>
  <si>
    <t>02_Volta</t>
  </si>
  <si>
    <t>(MA-ADM3617) ADMINISTRACIÓN PATRIMONIAL</t>
  </si>
  <si>
    <t>(MA-FINA-P) MAESTRÍA EN FINANZAS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</si>
  <si>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</si>
  <si>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</si>
  <si>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</si>
  <si>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</si>
  <si>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</si>
  <si>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</si>
  <si>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</si>
  <si>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</si>
  <si>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</si>
  <si>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</si>
  <si>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</si>
  <si>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</si>
  <si>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</si>
  <si>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</si>
  <si>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ALVAREZ, CAROLINA MAGALI</t>
  </si>
  <si>
    <t>DNI 34739130</t>
  </si>
  <si>
    <t>Aceptada</t>
  </si>
  <si>
    <t>Regularidad/Promoción</t>
  </si>
  <si>
    <t>11/08/2024 20:58:45</t>
  </si>
  <si>
    <t>No</t>
  </si>
  <si>
    <t>No aplica</t>
  </si>
  <si>
    <t>Campus Escuela de Economía y Negocios</t>
  </si>
  <si>
    <t>AZCUI, MAXIMILIANO CRUZ</t>
  </si>
  <si>
    <t>DNI 38390434</t>
  </si>
  <si>
    <t>05/08/2024 21:07:53</t>
  </si>
  <si>
    <t>BALBO, ALEJANDRO PABLO</t>
  </si>
  <si>
    <t>DNI 27201619</t>
  </si>
  <si>
    <t>08/08/2024 16:39:33</t>
  </si>
  <si>
    <t>BECKER, BRIAN</t>
  </si>
  <si>
    <t>DNI 37951941</t>
  </si>
  <si>
    <t>26/08/2024 15:44:05</t>
  </si>
  <si>
    <t>BONFANTI, BRUNO NICOLÁS</t>
  </si>
  <si>
    <t>DNI 40635399</t>
  </si>
  <si>
    <t>06/08/2024 13:54:01</t>
  </si>
  <si>
    <t>CALARCO, LEANDRO DIEGO</t>
  </si>
  <si>
    <t>DNI 28437067</t>
  </si>
  <si>
    <t>05/08/2024 10:41:52</t>
  </si>
  <si>
    <t>CASARETTO, MATÍAS SEBASTIÁN</t>
  </si>
  <si>
    <t>DNI 32726796</t>
  </si>
  <si>
    <t>08/08/2024 16:35:38</t>
  </si>
  <si>
    <t>CHAPARRO, GONZALO SEBASTIAN</t>
  </si>
  <si>
    <t>DNI 39316405</t>
  </si>
  <si>
    <t>05/08/2024 10:29:46</t>
  </si>
  <si>
    <t>CRESPO, DIEGO GABRIEL</t>
  </si>
  <si>
    <t>DNI 24953554</t>
  </si>
  <si>
    <t>08/08/2024 14:48:07</t>
  </si>
  <si>
    <t>DE ROSA, SABRINA NOEMI</t>
  </si>
  <si>
    <t>DNI 34974501</t>
  </si>
  <si>
    <t>11/08/2024 21:06:29</t>
  </si>
  <si>
    <t>FEDELE, CRISTIAN GABRIEL</t>
  </si>
  <si>
    <t>DNI 27181240</t>
  </si>
  <si>
    <t>11/08/2024 20:59:00</t>
  </si>
  <si>
    <t>FLORES ZAPATA, PATRICIA IVETTE</t>
  </si>
  <si>
    <t>DNI 19012678</t>
  </si>
  <si>
    <t>11/08/2024 17:25:40</t>
  </si>
  <si>
    <t>GARCIA, MATIAS EZEQUIEL</t>
  </si>
  <si>
    <t>DNI 34095667</t>
  </si>
  <si>
    <t>05/08/2024 12:27:50</t>
  </si>
  <si>
    <t>GOMEZ, MATIAS EZEQUIEL</t>
  </si>
  <si>
    <t>DNI 34521658</t>
  </si>
  <si>
    <t>09/08/2024 17:08:29</t>
  </si>
  <si>
    <t>LUCERO, FABIOLA IRIS</t>
  </si>
  <si>
    <t>DNI 33702094</t>
  </si>
  <si>
    <t>05/08/2024 14:29:02</t>
  </si>
  <si>
    <t>MARINARO, JESICA ROMINA</t>
  </si>
  <si>
    <t>DNI 29502113</t>
  </si>
  <si>
    <t>05/08/2024 10:31:21</t>
  </si>
  <si>
    <t>ODDONE, MATÍAS AGUSTIN</t>
  </si>
  <si>
    <t>DNI 38026272</t>
  </si>
  <si>
    <t>05/08/2024 15:50:42</t>
  </si>
  <si>
    <t>PAZ, SERGIO</t>
  </si>
  <si>
    <t>DNI 27145989</t>
  </si>
  <si>
    <t>08/08/2024 17:07:44</t>
  </si>
  <si>
    <t>PEREYRA, MATÍAS EZEQUIEL</t>
  </si>
  <si>
    <t>DNI 32613294</t>
  </si>
  <si>
    <t>05/08/2024 10:14:44</t>
  </si>
  <si>
    <t>PEREZ, ANAHÍ MACARENA</t>
  </si>
  <si>
    <t>DNI 36764246</t>
  </si>
  <si>
    <t>09/08/2024 19:28:38</t>
  </si>
  <si>
    <t>PEREZ LOSINNO, LISANDRO</t>
  </si>
  <si>
    <t>DNI 35043137</t>
  </si>
  <si>
    <t>05/08/2024 15:47:03</t>
  </si>
  <si>
    <t>QUIZAMAS, HECTOR JOSE</t>
  </si>
  <si>
    <t>DNI 21679452</t>
  </si>
  <si>
    <t>05/08/2024 11:31:33</t>
  </si>
  <si>
    <t>SILVERO, VICTOR EDUARDO</t>
  </si>
  <si>
    <t>DNI 32529765</t>
  </si>
  <si>
    <t>11/08/2024 20:08:56</t>
  </si>
  <si>
    <t>VENESIA, MIGUEL ANGEL</t>
  </si>
  <si>
    <t>DNI 14793004</t>
  </si>
  <si>
    <t>05/08/2024 20:45:27</t>
  </si>
  <si>
    <t xml:space="preserve">Cantidad de filas: </t>
  </si>
  <si>
    <t>(MA-CALT953) GESTION DE LA CALIDAD EN TURISMO</t>
  </si>
  <si>
    <t>(MA-MEDT-P) MAESTRÍA EN ECONOMÍA Y DESARROLLO DEL TURISMO</t>
  </si>
  <si>
    <t>AMERATTE, ROMINA</t>
  </si>
  <si>
    <t>DNI 30829246</t>
  </si>
  <si>
    <t>07/08/2024 19:23:41</t>
  </si>
  <si>
    <t>CICCIARO, JUAN GABRIEL</t>
  </si>
  <si>
    <t>DNI 34705176</t>
  </si>
  <si>
    <t>15/08/2024 15:16:44</t>
  </si>
  <si>
    <t>(MA-CTI3117) PROSPECTIVA, MAPEO DE SISTEMAS Y COCREACIÓN DE POLÍTICAS PARA LA CIENCIA, LA TECNOLOGÍA Y LA INNOVACION (CTI)</t>
  </si>
  <si>
    <t>(DO-EINN-P) DOCTORADO EN ECONOMÍA DE LA INNOVACIÓN</t>
  </si>
  <si>
    <t>ASINSTEN, JULIAN</t>
  </si>
  <si>
    <t>DNI 40397275</t>
  </si>
  <si>
    <t>13/08/2024 15:44:33</t>
  </si>
  <si>
    <t>LETTIERI, MARIANA</t>
  </si>
  <si>
    <t>DNI 31137339</t>
  </si>
  <si>
    <t>09/08/2024 12:41:05</t>
  </si>
  <si>
    <t>MONTANARI, ANA LUISA</t>
  </si>
  <si>
    <t>DNI 28541174</t>
  </si>
  <si>
    <t>05/08/2024 10:28:09</t>
  </si>
  <si>
    <t>MOYA, JOSEFINA</t>
  </si>
  <si>
    <t>DNI 96023839</t>
  </si>
  <si>
    <t>12/08/2024 13:22:49</t>
  </si>
  <si>
    <t>SANJURJO, LUIS MANUEL</t>
  </si>
  <si>
    <t>DNI 27934238</t>
  </si>
  <si>
    <t>05/08/2024 11:13:34</t>
  </si>
  <si>
    <t>(NG-EEYN-P) MOVILIDAD NACIONAL SIN CONVENIO - EEYN</t>
  </si>
  <si>
    <t>CASAS AGUDO, MARTA</t>
  </si>
  <si>
    <t>DOC 32819687K</t>
  </si>
  <si>
    <t>30/08/2024 13:37:47</t>
  </si>
  <si>
    <t>DEVINCENZI, MARIA CAMILA</t>
  </si>
  <si>
    <t>DNI 24704262</t>
  </si>
  <si>
    <t>04/09/2024 12:21:43</t>
  </si>
  <si>
    <t>DI LORENZO, DELFINA</t>
  </si>
  <si>
    <t>DNI 34005908</t>
  </si>
  <si>
    <t>09/08/2024 15:24:27</t>
  </si>
  <si>
    <t>PROTO CASSINA, LUCIANO</t>
  </si>
  <si>
    <t>DNI 34975584</t>
  </si>
  <si>
    <t>09/08/2024 16:17:15</t>
  </si>
  <si>
    <t>(MA-DER3602) DERIVADOS FINANCIEROS</t>
  </si>
  <si>
    <t>ACEVEDO, CARLOS EMILIO</t>
  </si>
  <si>
    <t>DNI 30586106</t>
  </si>
  <si>
    <t>05/08/2024 23:38:55</t>
  </si>
  <si>
    <t>ALDERETE, MARA DANIELA</t>
  </si>
  <si>
    <t>DNI 33002836</t>
  </si>
  <si>
    <t>05/08/2024 12:51:50</t>
  </si>
  <si>
    <t>ALVAREZ, IÑAKI</t>
  </si>
  <si>
    <t>DNI 33710195</t>
  </si>
  <si>
    <t>06/08/2024 11:25:13</t>
  </si>
  <si>
    <t>AMOROS, NICOLÁS MARTÍN</t>
  </si>
  <si>
    <t>DNI 36087545</t>
  </si>
  <si>
    <t>05/08/2024 11:01:36</t>
  </si>
  <si>
    <t>APPUGLIESE RONDA, JORGE HERNÁN</t>
  </si>
  <si>
    <t>DNI 33504777</t>
  </si>
  <si>
    <t>05/08/2024 11:32:47</t>
  </si>
  <si>
    <t>AVILA, YANINA ANDREA</t>
  </si>
  <si>
    <t>DNI 30277119</t>
  </si>
  <si>
    <t>05/08/2024 10:31:50</t>
  </si>
  <si>
    <t>BATTISTA, SANTIAGO JAVIER</t>
  </si>
  <si>
    <t>DNI 38624314</t>
  </si>
  <si>
    <t>10/08/2024 00:09:48</t>
  </si>
  <si>
    <t>BISCIONE, DANIEL LEONARDO</t>
  </si>
  <si>
    <t>DNI 35561700</t>
  </si>
  <si>
    <t>05/08/2024 10:58:01</t>
  </si>
  <si>
    <t>CAPUTO, ROQUE NICOLAS</t>
  </si>
  <si>
    <t>DNI 34090524</t>
  </si>
  <si>
    <t>06/08/2024 16:25:05</t>
  </si>
  <si>
    <t>CARRIZO, AGUSTIN</t>
  </si>
  <si>
    <t>DNI 37904830</t>
  </si>
  <si>
    <t>05/08/2024 10:33:19</t>
  </si>
  <si>
    <t>CASTILLO, CLAUDIO OSCAR</t>
  </si>
  <si>
    <t>DNI 23441923</t>
  </si>
  <si>
    <t>13/08/2024 15:20:21</t>
  </si>
  <si>
    <t>CESSARIO, AUGUSTO</t>
  </si>
  <si>
    <t>DNI 40944501</t>
  </si>
  <si>
    <t>05/08/2024 10:50:07</t>
  </si>
  <si>
    <t>CHAUMEIL, PILAR MARTINA</t>
  </si>
  <si>
    <t>DNI 40756111</t>
  </si>
  <si>
    <t>06/08/2024 09:15:24</t>
  </si>
  <si>
    <t>COPPA, FLAVIO</t>
  </si>
  <si>
    <t>DNI 30528206</t>
  </si>
  <si>
    <t>05/08/2024 11:59:53</t>
  </si>
  <si>
    <t>CORREA, ABEL ESTEBAN</t>
  </si>
  <si>
    <t>DNI 25638823</t>
  </si>
  <si>
    <t>06/08/2024 11:59:54</t>
  </si>
  <si>
    <t>COSSIO, FACUNDO</t>
  </si>
  <si>
    <t>DNI 25230952</t>
  </si>
  <si>
    <t>07/08/2024 11:31:14</t>
  </si>
  <si>
    <t>DARI, JULIÁN IGNACIO</t>
  </si>
  <si>
    <t>DNI 34923865</t>
  </si>
  <si>
    <t>05/08/2024 11:17:50</t>
  </si>
  <si>
    <t>DI MASCIO, ESTEBAN DANIEL</t>
  </si>
  <si>
    <t>DNI 36644917</t>
  </si>
  <si>
    <t>05/08/2024 14:00:10</t>
  </si>
  <si>
    <t>FERRO ARIET, DIEGO JORGE</t>
  </si>
  <si>
    <t>DNI 21478485</t>
  </si>
  <si>
    <t>07/08/2024 17:26:34</t>
  </si>
  <si>
    <t>FRISOLI, SOFIA</t>
  </si>
  <si>
    <t>DNI 37988308</t>
  </si>
  <si>
    <t>09/08/2024 22:42:20</t>
  </si>
  <si>
    <t>GARCIA, ALDO OMAR</t>
  </si>
  <si>
    <t>DNI 27847934</t>
  </si>
  <si>
    <t>08/08/2024 21:23:09</t>
  </si>
  <si>
    <t>GERAGHTY, JUAN BERNARDO</t>
  </si>
  <si>
    <t>DNI 36159837</t>
  </si>
  <si>
    <t>05/08/2024 10:11:46</t>
  </si>
  <si>
    <t>09/08/2024 17:08:37</t>
  </si>
  <si>
    <t>GOMEZ, TOMAS PABLO</t>
  </si>
  <si>
    <t>DNI 32071634</t>
  </si>
  <si>
    <t>05/08/2024 16:30:38</t>
  </si>
  <si>
    <t>GONZÁLEZ, IGNACIO FRANCISCO</t>
  </si>
  <si>
    <t>DNI 40937127</t>
  </si>
  <si>
    <t>06/08/2024 09:24:19</t>
  </si>
  <si>
    <t>GONZALEZ ROA, NICOLÁS RAMÓN GERMÁN</t>
  </si>
  <si>
    <t>DNI 34736234</t>
  </si>
  <si>
    <t>05/08/2024 11:55:59</t>
  </si>
  <si>
    <t>KARITA, FLORENCIA</t>
  </si>
  <si>
    <t>DNI 38685790</t>
  </si>
  <si>
    <t>05/08/2024 10:59:25</t>
  </si>
  <si>
    <t>MAMANI, CELIA ROMINA</t>
  </si>
  <si>
    <t>DNI 37517626</t>
  </si>
  <si>
    <t>05/08/2024 11:33:44</t>
  </si>
  <si>
    <t>MANGAS, IGNACIO</t>
  </si>
  <si>
    <t>CUIL 20372398311</t>
  </si>
  <si>
    <t>05/08/2024 10:07:44</t>
  </si>
  <si>
    <t>MILRAD, LIBER</t>
  </si>
  <si>
    <t>DNI 36165646</t>
  </si>
  <si>
    <t>05/08/2024 11:36:44</t>
  </si>
  <si>
    <t>MISSES, MAGALI</t>
  </si>
  <si>
    <t>DNI 31987688</t>
  </si>
  <si>
    <t>05/08/2024 10:55:53</t>
  </si>
  <si>
    <t>MONZON, CARLOS EMANUEL</t>
  </si>
  <si>
    <t>DNI 37057589</t>
  </si>
  <si>
    <t>05/08/2024 11:22:42</t>
  </si>
  <si>
    <t>NIKCHEVICH, MACARENA MAGDA</t>
  </si>
  <si>
    <t>DNI 40770417</t>
  </si>
  <si>
    <t>05/08/2024 11:00:30</t>
  </si>
  <si>
    <t>ORDUÑA, GUSTAVO</t>
  </si>
  <si>
    <t>DNI 20993659</t>
  </si>
  <si>
    <t>05/08/2024 11:24:32</t>
  </si>
  <si>
    <t>QUIROGA, GONZALO</t>
  </si>
  <si>
    <t>DNI 39884099</t>
  </si>
  <si>
    <t>05/08/2024 15:05:09</t>
  </si>
  <si>
    <t>SCARSO, LUCIANA ROCIO</t>
  </si>
  <si>
    <t>DNI 39333172</t>
  </si>
  <si>
    <t>05/08/2024 10:55:35</t>
  </si>
  <si>
    <t>TOBAR, DAVID HERNAN</t>
  </si>
  <si>
    <t>DNI 36826714</t>
  </si>
  <si>
    <t>05/08/2024 12:07:16</t>
  </si>
  <si>
    <t>TOLENTI, CANDELA</t>
  </si>
  <si>
    <t>DNI 40076795</t>
  </si>
  <si>
    <t>05/08/2024 19:49:33</t>
  </si>
  <si>
    <t>TRINCHERO, EMILIANO EDUARDO</t>
  </si>
  <si>
    <t>DNI 30653376</t>
  </si>
  <si>
    <t>05/08/2024 11:04:19</t>
  </si>
  <si>
    <t>URRICARIET, JUAN IGNACIO</t>
  </si>
  <si>
    <t>DNI 34021887</t>
  </si>
  <si>
    <t>05/08/2024 10:15:31</t>
  </si>
  <si>
    <t>VACCARO, TOMAS</t>
  </si>
  <si>
    <t>DNI 39641563</t>
  </si>
  <si>
    <t>05/08/2024 13:02:42</t>
  </si>
  <si>
    <t>VAZQUEZ PAREDES, JULIAN</t>
  </si>
  <si>
    <t>DNI 39207242</t>
  </si>
  <si>
    <t>05/08/2024 12:30:02</t>
  </si>
  <si>
    <t>VERONELLI, FACUNDO</t>
  </si>
  <si>
    <t>DNI 34544343</t>
  </si>
  <si>
    <t>11/08/2024 21:50:44</t>
  </si>
  <si>
    <t>ZAITS, SVITLANA</t>
  </si>
  <si>
    <t>DNI 93762142</t>
  </si>
  <si>
    <t>05/08/2024 11:44:13</t>
  </si>
  <si>
    <t>ZINNI, FEDERICO</t>
  </si>
  <si>
    <t>DNI 31453707</t>
  </si>
  <si>
    <t>11/08/2024 19:53:29</t>
  </si>
  <si>
    <t>(MA-DPI3516) DESARROLLO POLÍTICO E INSTITUCIONAL EN AMÉRICA LATINA</t>
  </si>
  <si>
    <t>(ES-EGFP-P) ESPECIALIZACIÓN EN GESTIÓN FINANCIERA PÚBLICA CON ENFOQUE A RESULTADOS</t>
  </si>
  <si>
    <t>BOTTI, LARA ROCÍO</t>
  </si>
  <si>
    <t>DNI 41399478</t>
  </si>
  <si>
    <t>05/08/2024 21:08:02</t>
  </si>
  <si>
    <t>COSTA, JUAN PABLO</t>
  </si>
  <si>
    <t>DNI 29435401</t>
  </si>
  <si>
    <t>05/08/2024 20:43:25</t>
  </si>
  <si>
    <t>FLORES, CLAUDIA ALEJANDRA</t>
  </si>
  <si>
    <t>DNI 16380169</t>
  </si>
  <si>
    <t>08/08/2024 08:20:38</t>
  </si>
  <si>
    <t>FORT CARRASCAL, ANAHI AYELEN</t>
  </si>
  <si>
    <t>DNI 19093658</t>
  </si>
  <si>
    <t>21/08/2024 20:21:57</t>
  </si>
  <si>
    <t>GALAN, MARIA CECILIA</t>
  </si>
  <si>
    <t>DNI 30495379</t>
  </si>
  <si>
    <t>08/08/2024 18:07:51</t>
  </si>
  <si>
    <t>GIL MIZAR, JORGE MARIO</t>
  </si>
  <si>
    <t>DNI 96195530</t>
  </si>
  <si>
    <t>15/08/2024 18:49:45</t>
  </si>
  <si>
    <t>GOMEZ, LEANDRO EMANUEL</t>
  </si>
  <si>
    <t>DNI 33230389</t>
  </si>
  <si>
    <t>07/08/2024 10:10:56</t>
  </si>
  <si>
    <t>LAVORATO, ELIZABETH RAQUEL</t>
  </si>
  <si>
    <t>DNI 32122015</t>
  </si>
  <si>
    <t>08/08/2024 16:21:04</t>
  </si>
  <si>
    <t>RODRIGUEZ BOICHETTA, ROMINA ALEJANDRA</t>
  </si>
  <si>
    <t>DNI 30652470</t>
  </si>
  <si>
    <t>06/08/2024 07:42:57</t>
  </si>
  <si>
    <t>SANDOVAL, JAVIER ALEJANDRO</t>
  </si>
  <si>
    <t>DNI 35946404</t>
  </si>
  <si>
    <t>06/08/2024 12:00:21</t>
  </si>
  <si>
    <t>SILEO, ADRIAN CARLOS</t>
  </si>
  <si>
    <t>DNI 29479777</t>
  </si>
  <si>
    <t>08/08/2024 09:59:04</t>
  </si>
  <si>
    <t>TREMARI, LAURA ELIZABETH</t>
  </si>
  <si>
    <t>DNI 26505246</t>
  </si>
  <si>
    <t>07/08/2024 06:08:30</t>
  </si>
  <si>
    <t>VOLPATTI, AUGUSTO</t>
  </si>
  <si>
    <t>DNI 33483732</t>
  </si>
  <si>
    <t>09/08/2024 09:58:58</t>
  </si>
  <si>
    <t>(MA-ECF3618) ECONOMETRÍA FINANCIERA</t>
  </si>
  <si>
    <t>05/08/2024 21:07:26</t>
  </si>
  <si>
    <t>08/08/2024 16:39:51</t>
  </si>
  <si>
    <t>05/08/2024 22:12:03</t>
  </si>
  <si>
    <t>05/08/2024 10:41:10</t>
  </si>
  <si>
    <t>08/08/2024 16:35:45</t>
  </si>
  <si>
    <t>05/08/2024 10:29:51</t>
  </si>
  <si>
    <t>08/08/2024 14:47:25</t>
  </si>
  <si>
    <t>05/08/2024 14:29:17</t>
  </si>
  <si>
    <t>05/08/2024 10:31:53</t>
  </si>
  <si>
    <t>05/08/2024 15:50:46</t>
  </si>
  <si>
    <t>08/08/2024 17:07:58</t>
  </si>
  <si>
    <t>05/08/2024 10:14:49</t>
  </si>
  <si>
    <t>09/08/2024 19:28:43</t>
  </si>
  <si>
    <t>05/08/2024 15:47:28</t>
  </si>
  <si>
    <t>05/08/2024 11:35:25</t>
  </si>
  <si>
    <t>11/08/2024 20:08:59</t>
  </si>
  <si>
    <t>05/08/2024 20:45:37</t>
  </si>
  <si>
    <t>(MA-ECO3403) ECONOMETRÍA AVANZADA</t>
  </si>
  <si>
    <t>(DO-CECO-P) DOCTORADO EN CIENCIAS ECONÓMICAS</t>
  </si>
  <si>
    <t>BARRANQUERO, IGNACIO NICOLÁS</t>
  </si>
  <si>
    <t>DNI 35562886</t>
  </si>
  <si>
    <t>05/08/2024 13:54:29</t>
  </si>
  <si>
    <t>CAPITANICH, JORGE MILTON</t>
  </si>
  <si>
    <t>DNI 16954348</t>
  </si>
  <si>
    <t>05/08/2024 17:31:25</t>
  </si>
  <si>
    <t>CARRIZO, ERICA ANABEL</t>
  </si>
  <si>
    <t>DNI 29850509</t>
  </si>
  <si>
    <t>05/08/2024 13:03:50</t>
  </si>
  <si>
    <t>FERNÁNDEZ, CLAUDIO NICOLÁS</t>
  </si>
  <si>
    <t>DNI 42649235</t>
  </si>
  <si>
    <t>05/08/2024 15:18:05</t>
  </si>
  <si>
    <t>MAURIZIO, JOSE LUIS</t>
  </si>
  <si>
    <t>DNI 16581785</t>
  </si>
  <si>
    <t>05/08/2024 10:05:35</t>
  </si>
  <si>
    <t>RACCANELLO, MARIO</t>
  </si>
  <si>
    <t>DNI 29316457</t>
  </si>
  <si>
    <t>09/08/2024 12:37:24</t>
  </si>
  <si>
    <t>ROBLEDO, YONATHAN ARIEL</t>
  </si>
  <si>
    <t>DNI 40855881</t>
  </si>
  <si>
    <t>05/08/2024 11:57:08</t>
  </si>
  <si>
    <t>GEDDO, SANTIAGO VICTOR</t>
  </si>
  <si>
    <t>DNI 35266262</t>
  </si>
  <si>
    <t>26/08/2024 16:00:44</t>
  </si>
  <si>
    <t>SANMARTIN, MARIA CECILIA</t>
  </si>
  <si>
    <t>DNI 38604564</t>
  </si>
  <si>
    <t>05/08/2024 17:27:06</t>
  </si>
  <si>
    <t>(MA-FIS3619) FINANZAS PARA LA INNOVACIÓN Y START UPS</t>
  </si>
  <si>
    <t>11/08/2024 20:59:01</t>
  </si>
  <si>
    <t>05/08/2024 21:06:45</t>
  </si>
  <si>
    <t>08/08/2024 16:40:03</t>
  </si>
  <si>
    <t>05/08/2024 10:42:28</t>
  </si>
  <si>
    <t>08/08/2024 16:35:54</t>
  </si>
  <si>
    <t>24/10/2024 19:34:17</t>
  </si>
  <si>
    <t>08/08/2024 16:55:42</t>
  </si>
  <si>
    <t>21/08/2024 20:26:21</t>
  </si>
  <si>
    <t>11/08/2024 20:59:16</t>
  </si>
  <si>
    <t>11/08/2024 17:25:20</t>
  </si>
  <si>
    <t>09/08/2024 17:08:43</t>
  </si>
  <si>
    <t>05/08/2024 14:30:07</t>
  </si>
  <si>
    <t>05/08/2024 10:34:16</t>
  </si>
  <si>
    <t>08/08/2024 17:08:07</t>
  </si>
  <si>
    <t>05/08/2024 10:14:56</t>
  </si>
  <si>
    <t>05/08/2024 15:47:54</t>
  </si>
  <si>
    <t>05/08/2024 11:36:42</t>
  </si>
  <si>
    <t>11/08/2024 20:09:05</t>
  </si>
  <si>
    <t>05/08/2024 20:45:48</t>
  </si>
  <si>
    <t>(MA-FMC3605) FINANZAS Y MANAGEMENT CORPORATIVO</t>
  </si>
  <si>
    <t>05/08/2024 23:39:09</t>
  </si>
  <si>
    <t>05/08/2024 12:53:13</t>
  </si>
  <si>
    <t>06/08/2024 11:25:04</t>
  </si>
  <si>
    <t>05/08/2024 11:01:51</t>
  </si>
  <si>
    <t>05/08/2024 11:33:29</t>
  </si>
  <si>
    <t>05/08/2024 10:32:34</t>
  </si>
  <si>
    <t>10/08/2024 00:09:59</t>
  </si>
  <si>
    <t>05/08/2024 10:58:11</t>
  </si>
  <si>
    <t>05/08/2024 10:33:30</t>
  </si>
  <si>
    <t>13/08/2024 15:21:29</t>
  </si>
  <si>
    <t>05/08/2024 10:50:18</t>
  </si>
  <si>
    <t>06/08/2024 09:15:34</t>
  </si>
  <si>
    <t>05/08/2024 12:02:18</t>
  </si>
  <si>
    <t>06/08/2024 12:00:18</t>
  </si>
  <si>
    <t>07/08/2024 11:32:07</t>
  </si>
  <si>
    <t>05/08/2024 11:18:14</t>
  </si>
  <si>
    <t>05/08/2024 14:00:28</t>
  </si>
  <si>
    <t>07/08/2024 17:26:45</t>
  </si>
  <si>
    <t>09/08/2024 22:43:30</t>
  </si>
  <si>
    <t>08/08/2024 21:23:20</t>
  </si>
  <si>
    <t>05/08/2024 10:15:00</t>
  </si>
  <si>
    <t>05/08/2024 16:32:04</t>
  </si>
  <si>
    <t>06/08/2024 09:24:42</t>
  </si>
  <si>
    <t>05/08/2024 11:56:34</t>
  </si>
  <si>
    <t>05/08/2024 11:00:31</t>
  </si>
  <si>
    <t>05/08/2024 11:33:59</t>
  </si>
  <si>
    <t>05/08/2024 10:07:59</t>
  </si>
  <si>
    <t>05/08/2024 11:36:53</t>
  </si>
  <si>
    <t>05/08/2024 10:55:20</t>
  </si>
  <si>
    <t>05/08/2024 11:23:25</t>
  </si>
  <si>
    <t>05/08/2024 10:59:52</t>
  </si>
  <si>
    <t>05/08/2024 11:24:58</t>
  </si>
  <si>
    <t>05/08/2024 15:05:19</t>
  </si>
  <si>
    <t>05/08/2024 10:56:04</t>
  </si>
  <si>
    <t>05/08/2024 12:07:25</t>
  </si>
  <si>
    <t>05/08/2024 19:49:49</t>
  </si>
  <si>
    <t>05/08/2024 11:07:10</t>
  </si>
  <si>
    <t>05/08/2024 10:14:57</t>
  </si>
  <si>
    <t>05/08/2024 13:02:22</t>
  </si>
  <si>
    <t>05/08/2024 12:30:22</t>
  </si>
  <si>
    <t>11/08/2024 21:50:59</t>
  </si>
  <si>
    <t>05/08/2024 11:44:40</t>
  </si>
  <si>
    <t>11/08/2024 19:53:43</t>
  </si>
  <si>
    <t>(MA-FPG3621) FINANZAS CON PERSPECTIVA DE GENERO</t>
  </si>
  <si>
    <t>11/08/2024 20:59:13</t>
  </si>
  <si>
    <t>08/08/2024 16:39:59</t>
  </si>
  <si>
    <t>05/08/2024 10:42:32</t>
  </si>
  <si>
    <t>08/08/2024 16:46:03</t>
  </si>
  <si>
    <t>08/08/2024 16:55:35</t>
  </si>
  <si>
    <t>21/08/2024 20:27:07</t>
  </si>
  <si>
    <t>05/08/2024 14:29:34</t>
  </si>
  <si>
    <t>05/08/2024 10:32:18</t>
  </si>
  <si>
    <t>18/10/2024 15:01:22</t>
  </si>
  <si>
    <t>09/08/2024 19:28:47</t>
  </si>
  <si>
    <t>05/08/2024 15:47:50</t>
  </si>
  <si>
    <t>05/08/2024 11:36:03</t>
  </si>
  <si>
    <t>11/08/2024 20:09:01</t>
  </si>
  <si>
    <t>05/08/2024 20:45:43</t>
  </si>
  <si>
    <t>(MA-FPIT948) FINANCIAMIENTO DE PROYECTOS DE INVERSION EN TURISMO</t>
  </si>
  <si>
    <t>(ES-EEDT-P) ESPECIALIZACIÓN EN ECONOMÍA Y DESARROLLO DEL TURISMO</t>
  </si>
  <si>
    <t>BLOISE, MARIA VERONICA RITA</t>
  </si>
  <si>
    <t>DNI 21991720</t>
  </si>
  <si>
    <t>08/08/2024 15:36:05</t>
  </si>
  <si>
    <t>PENZA, FLORENCIA</t>
  </si>
  <si>
    <t>DNI 34479828</t>
  </si>
  <si>
    <t>08/08/2024 13:31:13</t>
  </si>
  <si>
    <t>07/08/2024 19:23:30</t>
  </si>
  <si>
    <t>(MA-FUN3622) FUNDAMENTOS DE TRADING Y GOBERNANZA FINANCIERA</t>
  </si>
  <si>
    <t>11/08/2024 20:58:29</t>
  </si>
  <si>
    <t>05/08/2024 21:06:30</t>
  </si>
  <si>
    <t>08/08/2024 16:40:09</t>
  </si>
  <si>
    <t>05/08/2024 22:12:29</t>
  </si>
  <si>
    <t>05/08/2024 10:41:41</t>
  </si>
  <si>
    <t>06/08/2024 16:25:25</t>
  </si>
  <si>
    <t>08/08/2024 16:35:57</t>
  </si>
  <si>
    <t>05/08/2024 10:30:08</t>
  </si>
  <si>
    <t>08/08/2024 14:47:37</t>
  </si>
  <si>
    <t>11/08/2024 21:06:07</t>
  </si>
  <si>
    <t>11/08/2024 20:58:49</t>
  </si>
  <si>
    <t>11/08/2024 17:26:01</t>
  </si>
  <si>
    <t>05/08/2024 12:28:00</t>
  </si>
  <si>
    <t>09/08/2024 17:10:51</t>
  </si>
  <si>
    <t>05/08/2024 14:30:23</t>
  </si>
  <si>
    <t>05/08/2024 10:33:34</t>
  </si>
  <si>
    <t>05/08/2024 15:50:53</t>
  </si>
  <si>
    <t>09/08/2024 19:28:55</t>
  </si>
  <si>
    <t>05/08/2024 15:48:12</t>
  </si>
  <si>
    <t>05/08/2024 11:37:18</t>
  </si>
  <si>
    <t>11/08/2024 20:09:07</t>
  </si>
  <si>
    <t>05/08/2024 20:45:53</t>
  </si>
  <si>
    <t>(MA-GES3704) GESTIÓN DEL CONOCIMIENTO Y DINÁMICAS EMPRESARIALES</t>
  </si>
  <si>
    <t>(MA-DGTI-P) MAESTRÍA EN DISEÑO Y GESTIÓN DE LA TECNOLOGÍA Y LA INNOVACIÓN</t>
  </si>
  <si>
    <t>BARGE, VANESA ANDREA</t>
  </si>
  <si>
    <t>DNI 36729496</t>
  </si>
  <si>
    <t>Pendiente</t>
  </si>
  <si>
    <t>05/08/2024 13:49:08</t>
  </si>
  <si>
    <t>BONETTO, GUADALUPE</t>
  </si>
  <si>
    <t>DNI 25858122</t>
  </si>
  <si>
    <t>08/08/2024 20:21:00</t>
  </si>
  <si>
    <t>GUTIÉRREZ, SANTIAGO JESÚS</t>
  </si>
  <si>
    <t>DNI 38145702</t>
  </si>
  <si>
    <t>05/08/2024 19:42:37</t>
  </si>
  <si>
    <t>KOTEK, FLORENCIA</t>
  </si>
  <si>
    <t>DNI 32173456</t>
  </si>
  <si>
    <t>05/08/2024 15:33:21</t>
  </si>
  <si>
    <t>KREMER MECABELL, MATÍAS JOSÉ</t>
  </si>
  <si>
    <t>DNI 23969091</t>
  </si>
  <si>
    <t>05/08/2024 10:53:53</t>
  </si>
  <si>
    <t>MACCIONE, SOFIA</t>
  </si>
  <si>
    <t>DNI 37465692</t>
  </si>
  <si>
    <t>06/08/2024 10:34:19</t>
  </si>
  <si>
    <t>MORALES CALCAGNO, NICOLAS SANTIAGO</t>
  </si>
  <si>
    <t>DNI 30368972</t>
  </si>
  <si>
    <t>06/08/2024 18:17:49</t>
  </si>
  <si>
    <t>OVIEDO ALCOBA, SEBASTIAN</t>
  </si>
  <si>
    <t>CI 28863351</t>
  </si>
  <si>
    <t>10/08/2024 22:25:43</t>
  </si>
  <si>
    <t>REDDEL BIANCO, TRINIDAD</t>
  </si>
  <si>
    <t>DNI 38617790</t>
  </si>
  <si>
    <t>28/08/2024 15:55:06</t>
  </si>
  <si>
    <t>TOMASINI FAGUNDEZ, GENESIS VANINA</t>
  </si>
  <si>
    <t>DNI 51010684</t>
  </si>
  <si>
    <t>28/08/2024 15:18:38</t>
  </si>
  <si>
    <t>(IG-CONV-P) MOVILIDAD INTERNACIONAL CON CONVENIO</t>
  </si>
  <si>
    <t>Deininger, Jan Philipp</t>
  </si>
  <si>
    <t>PAS C18YKVRHT</t>
  </si>
  <si>
    <t>02/09/2024 12:07:42</t>
  </si>
  <si>
    <t>(MA-GES3709) GESTIÓN, INNOVACIÓN Y NEGOCIOS TECNOLÓGICOS EN PyMES</t>
  </si>
  <si>
    <t>08/08/2024 20:21:09</t>
  </si>
  <si>
    <t>05/08/2024 19:42:50</t>
  </si>
  <si>
    <t>05/08/2024 15:33:04</t>
  </si>
  <si>
    <t>05/08/2024 10:53:19</t>
  </si>
  <si>
    <t>06/08/2024 10:34:06</t>
  </si>
  <si>
    <t>06/08/2024 18:11:55</t>
  </si>
  <si>
    <t>10/08/2024 22:25:29</t>
  </si>
  <si>
    <t>28/08/2024 15:55:42</t>
  </si>
  <si>
    <t>28/08/2024 15:19:16</t>
  </si>
  <si>
    <t>02/09/2024 12:08:17</t>
  </si>
  <si>
    <t>(MA-GINT515) GESTION DE LA INNOVACION Y LA TECNOLOGIA</t>
  </si>
  <si>
    <t>(ES-EGTI-P) ESPECIALIZACIÓN EN GESTIÓN DE LA TECNOLOGÍA Y LA INNOVACIÓN</t>
  </si>
  <si>
    <t>BORSANI, CAROLINA BELEN</t>
  </si>
  <si>
    <t>DNI 29986585</t>
  </si>
  <si>
    <t>05/08/2024 16:24:38</t>
  </si>
  <si>
    <t>CRECENTE, MATIAS DAMIAN</t>
  </si>
  <si>
    <t>DNI 32068100</t>
  </si>
  <si>
    <t>09/08/2024 09:47:01</t>
  </si>
  <si>
    <t>GONZALES LEDEZMA, INES</t>
  </si>
  <si>
    <t>DNI 95910080</t>
  </si>
  <si>
    <t>05/08/2024 23:27:23</t>
  </si>
  <si>
    <t>HAIMOVICH, DIEGO ARIEL</t>
  </si>
  <si>
    <t>DNI 28080965</t>
  </si>
  <si>
    <t>06/08/2024 11:24:42</t>
  </si>
  <si>
    <t>MARAVANKIN, MATIAS ARIEL</t>
  </si>
  <si>
    <t>DNI 35267470</t>
  </si>
  <si>
    <t>06/08/2024 19:03:15</t>
  </si>
  <si>
    <t>SANCHEZ, GONZALO MANUEL</t>
  </si>
  <si>
    <t>DNI 36755133</t>
  </si>
  <si>
    <t>10/08/2024 16:19:16</t>
  </si>
  <si>
    <t>SZEJER, JOAQUIN</t>
  </si>
  <si>
    <t>DNI 38305037</t>
  </si>
  <si>
    <t>07/08/2024 09:51:47</t>
  </si>
  <si>
    <t>VASCONCELOS, JUAN IGNACIO</t>
  </si>
  <si>
    <t>DNI 26257942</t>
  </si>
  <si>
    <t>09/08/2024 20:11:14</t>
  </si>
  <si>
    <t>VIDAL SASTRE, ALEJANDRO GUSTAVO</t>
  </si>
  <si>
    <t>DNI 28305303</t>
  </si>
  <si>
    <t>12/08/2024 13:28:38</t>
  </si>
  <si>
    <t>(MA-HER3705) HERRAMIENTAS Y MECANISMOS DE FINANCIACIÓN DE LA INNOVACIÓN</t>
  </si>
  <si>
    <t>08/08/2024 20:23:08</t>
  </si>
  <si>
    <t>05/08/2024 19:43:02</t>
  </si>
  <si>
    <t>05/08/2024 22:24:55</t>
  </si>
  <si>
    <t>05/08/2024 10:52:59</t>
  </si>
  <si>
    <t>06/08/2024 10:34:28</t>
  </si>
  <si>
    <t>06/08/2024 18:22:51</t>
  </si>
  <si>
    <t>10/08/2024 22:31:31</t>
  </si>
  <si>
    <t>28/08/2024 15:56:14</t>
  </si>
  <si>
    <t>28/08/2024 15:19:51</t>
  </si>
  <si>
    <t>(MA-HMFI508) HERRAMIENTAS Y MECANISMOS DE FINANCIACION DE LA INNOVACION</t>
  </si>
  <si>
    <t>05/08/2024 16:24:43</t>
  </si>
  <si>
    <t>09/08/2024 10:01:25</t>
  </si>
  <si>
    <t>FERNANDEZ, DARIO ALEJANDRO</t>
  </si>
  <si>
    <t>DNI 34323487</t>
  </si>
  <si>
    <t>PEYN-473</t>
  </si>
  <si>
    <t>05/08/2024 11:02:48</t>
  </si>
  <si>
    <t>05/08/2024 23:27:39</t>
  </si>
  <si>
    <t>06/08/2024 11:24:54</t>
  </si>
  <si>
    <t>06/08/2024 19:03:28</t>
  </si>
  <si>
    <t>10/08/2024 16:19:38</t>
  </si>
  <si>
    <t>07/08/2024 09:51:54</t>
  </si>
  <si>
    <t>09/08/2024 20:12:49</t>
  </si>
  <si>
    <t>12/08/2024 13:28:50</t>
  </si>
  <si>
    <t>(MA-HPP3518) NUEVOS HORIZONTES DE LAS POLÍTICAS PÚBLICAS</t>
  </si>
  <si>
    <t>05/08/2024 21:08:10</t>
  </si>
  <si>
    <t>05/08/2024 20:43:28</t>
  </si>
  <si>
    <t>08/08/2024 08:20:45</t>
  </si>
  <si>
    <t>21/08/2024 20:22:31</t>
  </si>
  <si>
    <t>08/08/2024 18:07:57</t>
  </si>
  <si>
    <t>15/08/2024 18:50:12</t>
  </si>
  <si>
    <t>07/08/2024 10:11:00</t>
  </si>
  <si>
    <t>08/08/2024 16:21:25</t>
  </si>
  <si>
    <t>06/08/2024 07:43:03</t>
  </si>
  <si>
    <t>06/08/2024 12:00:28</t>
  </si>
  <si>
    <t>08/08/2024 09:59:14</t>
  </si>
  <si>
    <t>07/08/2024 06:08:34</t>
  </si>
  <si>
    <t>09/08/2024 09:59:01</t>
  </si>
  <si>
    <t>(MA-MAC3400) TEORÍA MACROECONÓMICA AVANZADA</t>
  </si>
  <si>
    <t>05/08/2024 17:32:40</t>
  </si>
  <si>
    <t>05/08/2024 13:04:12</t>
  </si>
  <si>
    <t>05/08/2024 15:18:13</t>
  </si>
  <si>
    <t>LOZA, ANDRES MIGUEL</t>
  </si>
  <si>
    <t>DNI 24435801</t>
  </si>
  <si>
    <t>05/08/2024 10:28:12</t>
  </si>
  <si>
    <t>05/08/2024 10:05:41</t>
  </si>
  <si>
    <t>05/08/2024 14:20:28</t>
  </si>
  <si>
    <t>05/08/2024 11:59:11</t>
  </si>
  <si>
    <t>(MA-MER3623) MERCADO DE CAPITALES APLICADO A LAS FINANZAS CORPORATIVAS</t>
  </si>
  <si>
    <t>05/08/2024 23:40:08</t>
  </si>
  <si>
    <t>11/08/2024 20:59:06</t>
  </si>
  <si>
    <t>05/08/2024 21:06:03</t>
  </si>
  <si>
    <t>08/08/2024 16:40:12</t>
  </si>
  <si>
    <t>05/08/2024 22:12:34</t>
  </si>
  <si>
    <t>06/08/2024 13:45:04</t>
  </si>
  <si>
    <t>05/08/2024 10:41:34</t>
  </si>
  <si>
    <t>06/08/2024 16:25:39</t>
  </si>
  <si>
    <t>08/08/2024 16:36:00</t>
  </si>
  <si>
    <t>08/08/2024 16:55:47</t>
  </si>
  <si>
    <t>11/08/2024 21:08:33</t>
  </si>
  <si>
    <t>11/08/2024 20:59:08</t>
  </si>
  <si>
    <t>12/08/2024 15:08:58</t>
  </si>
  <si>
    <t>05/08/2024 12:28:06</t>
  </si>
  <si>
    <t>09/08/2024 17:09:09</t>
  </si>
  <si>
    <t>05/08/2024 14:30:33</t>
  </si>
  <si>
    <t>05/08/2024 10:33:59</t>
  </si>
  <si>
    <t>05/08/2024 15:50:57</t>
  </si>
  <si>
    <t>08/08/2024 17:08:55</t>
  </si>
  <si>
    <t>05/08/2024 10:15:04</t>
  </si>
  <si>
    <t>09/08/2024 19:29:00</t>
  </si>
  <si>
    <t>05/08/2024 15:48:16</t>
  </si>
  <si>
    <t>05/08/2024 11:37:48</t>
  </si>
  <si>
    <t>11/08/2024 20:09:09</t>
  </si>
  <si>
    <t>05/08/2024 20:45:57</t>
  </si>
  <si>
    <t>(MA-PCTD516) POLITICAS DE CIENCIA Y TECNOLOGIA Y DINAMICAS DE INNOVACION</t>
  </si>
  <si>
    <t>05/08/2024 16:24:48</t>
  </si>
  <si>
    <t>09/08/2024 09:47:14</t>
  </si>
  <si>
    <t>05/08/2024 23:27:48</t>
  </si>
  <si>
    <t>06/08/2024 11:25:06</t>
  </si>
  <si>
    <t>06/08/2024 19:03:31</t>
  </si>
  <si>
    <t>10/08/2024 16:19:46</t>
  </si>
  <si>
    <t>07/08/2024 09:52:03</t>
  </si>
  <si>
    <t>09/08/2024 20:16:28</t>
  </si>
  <si>
    <t>12/08/2024 13:29:20</t>
  </si>
  <si>
    <t>(MA-POL3703) POLÍTICAS DE LA CIENCIA, TECNOLOGÍA E INNOVACIÓN PRODUCTIVA</t>
  </si>
  <si>
    <t>05/08/2024 13:49:03</t>
  </si>
  <si>
    <t>08/08/2024 20:23:12</t>
  </si>
  <si>
    <t>05/08/2024 19:43:17</t>
  </si>
  <si>
    <t>05/08/2024 15:33:33</t>
  </si>
  <si>
    <t>05/08/2024 10:52:53</t>
  </si>
  <si>
    <t>06/08/2024 10:34:38</t>
  </si>
  <si>
    <t>06/08/2024 18:28:17</t>
  </si>
  <si>
    <t>10/08/2024 22:25:53</t>
  </si>
  <si>
    <t>28/08/2024 15:56:43</t>
  </si>
  <si>
    <t>28/08/2024 15:20:21</t>
  </si>
  <si>
    <t>(MA-PPP3517) PRINCIPALES POLÍTICAS PÚBLICAS</t>
  </si>
  <si>
    <t>05/08/2024 21:08:26</t>
  </si>
  <si>
    <t>05/08/2024 20:43:30</t>
  </si>
  <si>
    <t>08/08/2024 08:20:57</t>
  </si>
  <si>
    <t>21/08/2024 20:23:15</t>
  </si>
  <si>
    <t>08/08/2024 18:08:05</t>
  </si>
  <si>
    <t>15/08/2024 18:50:42</t>
  </si>
  <si>
    <t>07/08/2024 10:11:02</t>
  </si>
  <si>
    <t>08/08/2024 16:21:37</t>
  </si>
  <si>
    <t>06/08/2024 07:43:15</t>
  </si>
  <si>
    <t>06/08/2024 12:00:31</t>
  </si>
  <si>
    <t>08/08/2024 09:59:24</t>
  </si>
  <si>
    <t>07/08/2024 06:08:40</t>
  </si>
  <si>
    <t>09/08/2024 09:59:03</t>
  </si>
  <si>
    <t>(MA-RED3118) REDES Y SISTEMAS DE INNOVACIÓN. FUNDAMENTOS TEÓRICOS Y METODOLÓGICOS</t>
  </si>
  <si>
    <t>ALBANESI, GUILLERMO</t>
  </si>
  <si>
    <t>DNI 25317821</t>
  </si>
  <si>
    <t>10/08/2024 09:22:32</t>
  </si>
  <si>
    <t>DELBUONO, VICTOR JAVIER</t>
  </si>
  <si>
    <t>DNI 32952679</t>
  </si>
  <si>
    <t>05/08/2024 12:26:07</t>
  </si>
  <si>
    <t>ESPINOSA RUBIANO, CAROLINA</t>
  </si>
  <si>
    <t>DNI 94443490</t>
  </si>
  <si>
    <t>16/09/2024 09:48:12</t>
  </si>
  <si>
    <t>GARCIA SILVA, LEANDRO</t>
  </si>
  <si>
    <t>DNI 23174139</t>
  </si>
  <si>
    <t>05/08/2024 17:25:26</t>
  </si>
  <si>
    <t>09/08/2024 12:41:12</t>
  </si>
  <si>
    <t>05/08/2024 10:29:11</t>
  </si>
  <si>
    <t>12/08/2024 13:23:00</t>
  </si>
  <si>
    <t>OLIVIERI, MARIANO</t>
  </si>
  <si>
    <t>DNI 39718356</t>
  </si>
  <si>
    <t>07/08/2024 04:06:32</t>
  </si>
  <si>
    <t>LAUSTONAU, ALAN RODOLFO</t>
  </si>
  <si>
    <t>DNI 39104357</t>
  </si>
  <si>
    <t>06/08/2024 17:41:43</t>
  </si>
  <si>
    <t>05/08/2024 11:58:26</t>
  </si>
  <si>
    <t>09/08/2024 16:17:54</t>
  </si>
  <si>
    <t>(MA-SOCT950) SOCIOLOGIA DEL TURISMO</t>
  </si>
  <si>
    <t>07/08/2024 19:23:57</t>
  </si>
  <si>
    <t>15/08/2024 15:12:27</t>
  </si>
  <si>
    <t>(MA-TEI3101) TÓPICOS DE ECONOMÍA DE LA INNOVACIÓN</t>
  </si>
  <si>
    <t>10/08/2024 09:21:00</t>
  </si>
  <si>
    <t>13/08/2024 15:43:38</t>
  </si>
  <si>
    <t>08/08/2024 10:07:14</t>
  </si>
  <si>
    <t>05/08/2024 10:29:41</t>
  </si>
  <si>
    <t>05/08/2024 11:13:03</t>
  </si>
  <si>
    <t>(MA-TIC3708) TIC Y PRODUCTIVIDAD</t>
  </si>
  <si>
    <t>08/08/2024 20:23:16</t>
  </si>
  <si>
    <t>05/08/2024 19:43:25</t>
  </si>
  <si>
    <t>05/08/2024 15:33:36</t>
  </si>
  <si>
    <t>05/08/2024 10:52:42</t>
  </si>
  <si>
    <t>LIPPS, MARÍA VICTORIA</t>
  </si>
  <si>
    <t>DNI 25967470</t>
  </si>
  <si>
    <t>05/08/2024 21:02:47</t>
  </si>
  <si>
    <t>06/08/2024 10:34:43</t>
  </si>
  <si>
    <t>06/08/2024 18:37:22</t>
  </si>
  <si>
    <t>10/08/2024 22:26:00</t>
  </si>
  <si>
    <t>28/08/2024 15:57:14</t>
  </si>
  <si>
    <t>28/08/2024 15:20:49</t>
  </si>
  <si>
    <t>ZABALA, NATALIA SOLEDAD</t>
  </si>
  <si>
    <t>DNI 26942049</t>
  </si>
  <si>
    <t>12/08/2024 15:02:56</t>
  </si>
  <si>
    <t>(MA-TICS517) TECNOLOGIAS DE LA INFORMACION Y COMUNICACION (TICs)  Y PRODUCTIVIDAD</t>
  </si>
  <si>
    <t>05/08/2024 16:24:58</t>
  </si>
  <si>
    <t>09/08/2024 09:47:52</t>
  </si>
  <si>
    <t>05/08/2024 23:28:02</t>
  </si>
  <si>
    <t>06/08/2024 11:25:16</t>
  </si>
  <si>
    <t>06/08/2024 19:03:36</t>
  </si>
  <si>
    <t>10/08/2024 16:19:54</t>
  </si>
  <si>
    <t>07/08/2024 09:52:17</t>
  </si>
  <si>
    <t>09/08/2024 20:18:29</t>
  </si>
  <si>
    <t>12/08/2024 13:29:28</t>
  </si>
  <si>
    <t>(MA-TICT951) TECNOLOGIAS DE LA INFORMACION Y COMUNICACION EN TURISMO</t>
  </si>
  <si>
    <t>07/08/2024 19:24:03</t>
  </si>
  <si>
    <t>15/08/2024 15:13:17</t>
  </si>
  <si>
    <t>(MA-TIN0916) TALLER DE INVESTIGACION</t>
  </si>
  <si>
    <t>28/10/2024 11:48:34</t>
  </si>
  <si>
    <t>Regularidad</t>
  </si>
  <si>
    <t>28/10/2024 12:22:49</t>
  </si>
  <si>
    <t>(MA-TOP3624) TÓPICOS DE MACROFINANZAS II</t>
  </si>
  <si>
    <t>11/08/2024 20:58:39</t>
  </si>
  <si>
    <t>05/08/2024 21:05:10</t>
  </si>
  <si>
    <t>08/08/2024 16:40:20</t>
  </si>
  <si>
    <t>05/08/2024 22:35:25</t>
  </si>
  <si>
    <t>06/08/2024 13:38:45</t>
  </si>
  <si>
    <t>06/08/2024 12:41:01</t>
  </si>
  <si>
    <t>08/08/2024 16:36:08</t>
  </si>
  <si>
    <t>08/08/2024 14:47:50</t>
  </si>
  <si>
    <t>21/08/2024 20:25:32</t>
  </si>
  <si>
    <t>11/08/2024 20:58:33</t>
  </si>
  <si>
    <t>12/08/2024 15:09:03</t>
  </si>
  <si>
    <t>12/08/2024 17:30:21</t>
  </si>
  <si>
    <t>09/08/2024 17:09:23</t>
  </si>
  <si>
    <t>05/08/2024 14:30:59</t>
  </si>
  <si>
    <t>05/08/2024 13:24:55</t>
  </si>
  <si>
    <t>05/08/2024 15:51:03</t>
  </si>
  <si>
    <t>08/08/2024 17:08:31</t>
  </si>
  <si>
    <t>05/08/2024 13:30:28</t>
  </si>
  <si>
    <t>09/08/2024 19:29:07</t>
  </si>
  <si>
    <t>05/08/2024 15:48:25</t>
  </si>
  <si>
    <t>05/08/2024 13:25:00</t>
  </si>
  <si>
    <t>11/08/2024 20:09:14</t>
  </si>
  <si>
    <t>05/08/2024 20:46:07</t>
  </si>
  <si>
    <t>(MA-VAL3604) VALUACIÓN DE EMPRESAS</t>
  </si>
  <si>
    <t>05/08/2024 23:39:24</t>
  </si>
  <si>
    <t>05/08/2024 12:53:43</t>
  </si>
  <si>
    <t>06/08/2024 11:24:48</t>
  </si>
  <si>
    <t>05/08/2024 11:02:00</t>
  </si>
  <si>
    <t>05/08/2024 11:33:45</t>
  </si>
  <si>
    <t>05/08/2024 10:31:42</t>
  </si>
  <si>
    <t>10/08/2024 00:10:09</t>
  </si>
  <si>
    <t>05/08/2024 10:58:41</t>
  </si>
  <si>
    <t>05/08/2024 10:33:37</t>
  </si>
  <si>
    <t>13/08/2024 15:24:01</t>
  </si>
  <si>
    <t>05/08/2024 10:50:27</t>
  </si>
  <si>
    <t>06/08/2024 09:14:59</t>
  </si>
  <si>
    <t>05/08/2024 12:01:12</t>
  </si>
  <si>
    <t>06/08/2024 12:00:36</t>
  </si>
  <si>
    <t>07/08/2024 11:32:58</t>
  </si>
  <si>
    <t>05/08/2024 11:18:33</t>
  </si>
  <si>
    <t>05/08/2024 14:00:51</t>
  </si>
  <si>
    <t>07/08/2024 17:26:55</t>
  </si>
  <si>
    <t>09/08/2024 22:44:30</t>
  </si>
  <si>
    <t>08/08/2024 21:23:34</t>
  </si>
  <si>
    <t>05/08/2024 10:12:04</t>
  </si>
  <si>
    <t>05/08/2024 16:31:20</t>
  </si>
  <si>
    <t>06/08/2024 09:24:39</t>
  </si>
  <si>
    <t>05/08/2024 11:56:43</t>
  </si>
  <si>
    <t>05/08/2024 11:01:34</t>
  </si>
  <si>
    <t>05/08/2024 11:34:30</t>
  </si>
  <si>
    <t>05/08/2024 10:08:07</t>
  </si>
  <si>
    <t>05/08/2024 11:37:01</t>
  </si>
  <si>
    <t>05/08/2024 10:56:10</t>
  </si>
  <si>
    <t>05/08/2024 11:23:56</t>
  </si>
  <si>
    <t>05/08/2024 10:58:25</t>
  </si>
  <si>
    <t>05/08/2024 11:25:14</t>
  </si>
  <si>
    <t>05/08/2024 15:05:29</t>
  </si>
  <si>
    <t>05/08/2024 10:56:18</t>
  </si>
  <si>
    <t>05/08/2024 12:07:35</t>
  </si>
  <si>
    <t>05/08/2024 19:50:01</t>
  </si>
  <si>
    <t>05/08/2024 11:04:04</t>
  </si>
  <si>
    <t>05/08/2024 10:15:11</t>
  </si>
  <si>
    <t>05/08/2024 13:01:43</t>
  </si>
  <si>
    <t>05/08/2024 12:30:31</t>
  </si>
  <si>
    <t>11/08/2024 21:51:12</t>
  </si>
  <si>
    <t>05/08/2024 11:44:30</t>
  </si>
  <si>
    <t>11/08/2024 19:54:49</t>
  </si>
  <si>
    <t>(SE-SEP0917) SEMINARIO SOBRE SITUACION ECONOMICA Y POLITICA MUNDIAL</t>
  </si>
  <si>
    <t>07/08/2024 19:23:49</t>
  </si>
  <si>
    <t>15/08/2024 15:17:37</t>
  </si>
  <si>
    <t>LIDESTRI, MARTIN ALBERTO</t>
  </si>
  <si>
    <t>DNI 18443109</t>
  </si>
  <si>
    <t>PEYN-123</t>
  </si>
  <si>
    <t>03/09/2024 14:02:57</t>
  </si>
  <si>
    <t>MARCONI, YANINA</t>
  </si>
  <si>
    <t>DNI 32845835</t>
  </si>
  <si>
    <t>PEYN-116</t>
  </si>
  <si>
    <t>04/11/2024 14:24:42</t>
  </si>
  <si>
    <t>PANIAGUA SOSA, FATIMA CECILIA</t>
  </si>
  <si>
    <t>DNI 19026162</t>
  </si>
  <si>
    <t>PEYN-127</t>
  </si>
  <si>
    <t>04/09/2024 11:45:43</t>
  </si>
  <si>
    <t>(TA-PRPR526) TALLER DE PRACTICAS PROFESIONALES</t>
  </si>
  <si>
    <t>05/08/2024 16:48:29</t>
  </si>
  <si>
    <t>09/08/2024 09:50:36</t>
  </si>
  <si>
    <t>05/08/2024 23:27:56</t>
  </si>
  <si>
    <t>06/08/2024 11:25:22</t>
  </si>
  <si>
    <t>06/08/2024 19:03:33</t>
  </si>
  <si>
    <t>10/08/2024 16:19:50</t>
  </si>
  <si>
    <t>07/08/2024 09:52:14</t>
  </si>
  <si>
    <t>09/08/2024 20:17:41</t>
  </si>
  <si>
    <t>12/08/2024 13:29:25</t>
  </si>
  <si>
    <t>(TA-TEF3520) TALLER EVALUACIÓN FINAL</t>
  </si>
  <si>
    <t>05/08/2024 21:08:33</t>
  </si>
  <si>
    <t>05/08/2024 20:43:32</t>
  </si>
  <si>
    <t>08/08/2024 08:21:04</t>
  </si>
  <si>
    <t>21/08/2024 20:23:51</t>
  </si>
  <si>
    <t>08/08/2024 18:08:10</t>
  </si>
  <si>
    <t>15/08/2024 18:51:08</t>
  </si>
  <si>
    <t>07/08/2024 10:11:05</t>
  </si>
  <si>
    <t>08/08/2024 16:21:48</t>
  </si>
  <si>
    <t>06/08/2024 07:43:09</t>
  </si>
  <si>
    <t>06/08/2024 12:00:33</t>
  </si>
  <si>
    <t>08/08/2024 09:59:35</t>
  </si>
  <si>
    <t>07/08/2024 06:08:45</t>
  </si>
  <si>
    <t>09/08/2024 09:59:06</t>
  </si>
  <si>
    <t>(TA-TFM3720) TALLER DE TRABAJO FINAL DE MAESTRÍA</t>
  </si>
  <si>
    <t>26/08/2024 16:17:48</t>
  </si>
  <si>
    <t>BASTÍAS, IGNACIO LUIS</t>
  </si>
  <si>
    <t>DNI 39099161</t>
  </si>
  <si>
    <t>26/08/2024 16:18:26</t>
  </si>
  <si>
    <t>Burgueño, Maria Raquel</t>
  </si>
  <si>
    <t>DNI 23477312</t>
  </si>
  <si>
    <t>26/08/2024 16:19:03</t>
  </si>
  <si>
    <t>CASTILLO VANEGAS, JULIETH PAOLA</t>
  </si>
  <si>
    <t>DNI 95784670</t>
  </si>
  <si>
    <t>26/08/2024 16:19:38</t>
  </si>
  <si>
    <t>CIANCIO, AGUSTINA</t>
  </si>
  <si>
    <t>DNI 41406149</t>
  </si>
  <si>
    <t>26/08/2024 16:20:11</t>
  </si>
  <si>
    <t>DEUZ, JULIANA ELENA</t>
  </si>
  <si>
    <t>DNI 25483707</t>
  </si>
  <si>
    <t>26/08/2024 16:20:45</t>
  </si>
  <si>
    <t>GARCIA, JAVIER ANDRES</t>
  </si>
  <si>
    <t>DNI 30513869</t>
  </si>
  <si>
    <t>26/08/2024 16:21:22</t>
  </si>
  <si>
    <t>HUBER, AUGUSTO</t>
  </si>
  <si>
    <t>DNI 38618297</t>
  </si>
  <si>
    <t>26/08/2024 16:22:24</t>
  </si>
  <si>
    <t>26/08/2024 16:23:14</t>
  </si>
  <si>
    <t>Sinigalle, Carolina</t>
  </si>
  <si>
    <t>DNI 27704396</t>
  </si>
  <si>
    <t>26/08/2024 16:23:55</t>
  </si>
  <si>
    <t>VALENTE, FRANCISCO HORACIO</t>
  </si>
  <si>
    <t>DNI 34077728</t>
  </si>
  <si>
    <t>26/08/2024 16:24:38</t>
  </si>
  <si>
    <t>26/08/2024 16:25:13</t>
  </si>
  <si>
    <t>(TA-TTF3612) TALLER DE TRABAJO FINAL II</t>
  </si>
  <si>
    <t>05/08/2024 23:39:54</t>
  </si>
  <si>
    <t>11/08/2024 20:59:19</t>
  </si>
  <si>
    <t>05/08/2024 21:05:43</t>
  </si>
  <si>
    <t>08/08/2024 16:40:17</t>
  </si>
  <si>
    <t>05/08/2024 22:12:36</t>
  </si>
  <si>
    <t>06/08/2024 13:38:53</t>
  </si>
  <si>
    <t>05/08/2024 10:41:28</t>
  </si>
  <si>
    <t>08/08/2024 16:36:03</t>
  </si>
  <si>
    <t>05/08/2024 10:10:19</t>
  </si>
  <si>
    <t>08/08/2024 14:47:10</t>
  </si>
  <si>
    <t>11/08/2024 21:05:00</t>
  </si>
  <si>
    <t>11/08/2024 20:58:19</t>
  </si>
  <si>
    <t>11/08/2024 17:21:53</t>
  </si>
  <si>
    <t>05/08/2024 12:28:18</t>
  </si>
  <si>
    <t>09/08/2024 17:09:29</t>
  </si>
  <si>
    <t>05/08/2024 14:30:51</t>
  </si>
  <si>
    <t>05/08/2024 10:34:33</t>
  </si>
  <si>
    <t>05/08/2024 15:51:00</t>
  </si>
  <si>
    <t>08/08/2024 17:08:24</t>
  </si>
  <si>
    <t>05/08/2024 10:15:09</t>
  </si>
  <si>
    <t>09/08/2024 19:29:03</t>
  </si>
  <si>
    <t>05/08/2024 11:38:11</t>
  </si>
  <si>
    <t>11/08/2024 20:09:11</t>
  </si>
  <si>
    <t>05/08/2024 20:46:01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</si>
</sst>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31"/>
  <sheetViews>
    <sheetView tabSelected="1" workbookViewId="0" showGridLines="true" showRowColHeaders="1">
      <selection activeCell="N731" sqref="N731"/>
    </sheetView>
  </sheetViews>
  <sheetFormatPr defaultRowHeight="14.4" outlineLevelRow="0" outlineLevelCol="0"/>
  <cols>
    <col min="1" max="1" width="44" bestFit="true" customWidth="true" style="0"/>
    <col min="2" max="2" width="19" bestFit="true" customWidth="true" style="0"/>
    <col min="3" max="3" width="41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2024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3617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1319605</v>
      </c>
      <c r="K7" s="2">
        <v>4405</v>
      </c>
      <c r="L7" s="2" t="s">
        <v>27</v>
      </c>
      <c r="M7" s="2" t="s">
        <v>28</v>
      </c>
      <c r="N7" s="2">
        <v>10401</v>
      </c>
    </row>
    <row r="8" spans="1:14">
      <c r="A8" s="6" t="s">
        <v>29</v>
      </c>
      <c r="B8" s="6" t="s">
        <v>30</v>
      </c>
      <c r="C8" s="6"/>
      <c r="D8" s="6">
        <v>3617</v>
      </c>
      <c r="E8" s="6" t="s">
        <v>23</v>
      </c>
      <c r="F8" s="2" t="s">
        <v>24</v>
      </c>
      <c r="G8" s="2" t="s">
        <v>31</v>
      </c>
      <c r="H8" s="2" t="s">
        <v>26</v>
      </c>
      <c r="I8" s="2"/>
      <c r="J8" s="2">
        <v>1317604</v>
      </c>
      <c r="K8" s="2">
        <v>4405</v>
      </c>
      <c r="L8" s="2" t="s">
        <v>27</v>
      </c>
      <c r="M8" s="2" t="s">
        <v>28</v>
      </c>
      <c r="N8" s="2">
        <v>10402</v>
      </c>
    </row>
    <row r="9" spans="1:14">
      <c r="A9" s="6" t="s">
        <v>32</v>
      </c>
      <c r="B9" s="6" t="s">
        <v>33</v>
      </c>
      <c r="C9" s="6"/>
      <c r="D9" s="6">
        <v>3617</v>
      </c>
      <c r="E9" s="6" t="s">
        <v>23</v>
      </c>
      <c r="F9" s="2" t="s">
        <v>24</v>
      </c>
      <c r="G9" s="2" t="s">
        <v>34</v>
      </c>
      <c r="H9" s="2" t="s">
        <v>26</v>
      </c>
      <c r="I9" s="2"/>
      <c r="J9" s="2">
        <v>1318926</v>
      </c>
      <c r="K9" s="2">
        <v>4405</v>
      </c>
      <c r="L9" s="2" t="s">
        <v>27</v>
      </c>
      <c r="M9" s="2" t="s">
        <v>28</v>
      </c>
      <c r="N9" s="2">
        <v>10403</v>
      </c>
    </row>
    <row r="10" spans="1:14">
      <c r="A10" s="6" t="s">
        <v>35</v>
      </c>
      <c r="B10" s="6" t="s">
        <v>36</v>
      </c>
      <c r="C10" s="6"/>
      <c r="D10" s="6">
        <v>3617</v>
      </c>
      <c r="E10" s="6" t="s">
        <v>23</v>
      </c>
      <c r="F10" s="2" t="s">
        <v>24</v>
      </c>
      <c r="G10" s="2" t="s">
        <v>37</v>
      </c>
      <c r="H10" s="2" t="s">
        <v>26</v>
      </c>
      <c r="I10" s="2"/>
      <c r="J10" s="2">
        <v>1323547</v>
      </c>
      <c r="K10" s="2">
        <v>4405</v>
      </c>
      <c r="L10" s="2" t="s">
        <v>27</v>
      </c>
      <c r="M10" s="2" t="s">
        <v>28</v>
      </c>
      <c r="N10" s="2">
        <v>3125</v>
      </c>
    </row>
    <row r="11" spans="1:14">
      <c r="A11" s="6" t="s">
        <v>38</v>
      </c>
      <c r="B11" s="6" t="s">
        <v>39</v>
      </c>
      <c r="C11" s="6"/>
      <c r="D11" s="6">
        <v>3617</v>
      </c>
      <c r="E11" s="6" t="s">
        <v>23</v>
      </c>
      <c r="F11" s="2" t="s">
        <v>24</v>
      </c>
      <c r="G11" s="2" t="s">
        <v>40</v>
      </c>
      <c r="H11" s="2" t="s">
        <v>26</v>
      </c>
      <c r="I11" s="2"/>
      <c r="J11" s="2">
        <v>1317938</v>
      </c>
      <c r="K11" s="2">
        <v>4405</v>
      </c>
      <c r="L11" s="2" t="s">
        <v>27</v>
      </c>
      <c r="M11" s="2" t="s">
        <v>28</v>
      </c>
      <c r="N11" s="2">
        <v>10404</v>
      </c>
    </row>
    <row r="12" spans="1:14">
      <c r="A12" s="6" t="s">
        <v>41</v>
      </c>
      <c r="B12" s="6" t="s">
        <v>42</v>
      </c>
      <c r="C12" s="6"/>
      <c r="D12" s="6">
        <v>3617</v>
      </c>
      <c r="E12" s="6" t="s">
        <v>23</v>
      </c>
      <c r="F12" s="2" t="s">
        <v>24</v>
      </c>
      <c r="G12" s="2" t="s">
        <v>43</v>
      </c>
      <c r="H12" s="2" t="s">
        <v>26</v>
      </c>
      <c r="I12" s="2"/>
      <c r="J12" s="2">
        <v>1316839</v>
      </c>
      <c r="K12" s="2">
        <v>4405</v>
      </c>
      <c r="L12" s="2" t="s">
        <v>27</v>
      </c>
      <c r="M12" s="2" t="s">
        <v>28</v>
      </c>
      <c r="N12" s="2">
        <v>10405</v>
      </c>
    </row>
    <row r="13" spans="1:14">
      <c r="A13" s="6" t="s">
        <v>44</v>
      </c>
      <c r="B13" s="6" t="s">
        <v>45</v>
      </c>
      <c r="C13" s="6"/>
      <c r="D13" s="6">
        <v>3617</v>
      </c>
      <c r="E13" s="6" t="s">
        <v>23</v>
      </c>
      <c r="F13" s="2" t="s">
        <v>24</v>
      </c>
      <c r="G13" s="2" t="s">
        <v>46</v>
      </c>
      <c r="H13" s="2" t="s">
        <v>26</v>
      </c>
      <c r="I13" s="2"/>
      <c r="J13" s="2">
        <v>1318919</v>
      </c>
      <c r="K13" s="2">
        <v>4405</v>
      </c>
      <c r="L13" s="2" t="s">
        <v>27</v>
      </c>
      <c r="M13" s="2" t="s">
        <v>28</v>
      </c>
      <c r="N13" s="2">
        <v>10407</v>
      </c>
    </row>
    <row r="14" spans="1:14">
      <c r="A14" s="6" t="s">
        <v>47</v>
      </c>
      <c r="B14" s="6" t="s">
        <v>48</v>
      </c>
      <c r="C14" s="6"/>
      <c r="D14" s="6">
        <v>3617</v>
      </c>
      <c r="E14" s="6" t="s">
        <v>23</v>
      </c>
      <c r="F14" s="2" t="s">
        <v>24</v>
      </c>
      <c r="G14" s="2" t="s">
        <v>49</v>
      </c>
      <c r="H14" s="2" t="s">
        <v>26</v>
      </c>
      <c r="I14" s="2"/>
      <c r="J14" s="2">
        <v>1316798</v>
      </c>
      <c r="K14" s="2">
        <v>4405</v>
      </c>
      <c r="L14" s="2" t="s">
        <v>27</v>
      </c>
      <c r="M14" s="2" t="s">
        <v>28</v>
      </c>
      <c r="N14" s="2">
        <v>10410</v>
      </c>
    </row>
    <row r="15" spans="1:14">
      <c r="A15" s="6" t="s">
        <v>50</v>
      </c>
      <c r="B15" s="6" t="s">
        <v>51</v>
      </c>
      <c r="C15" s="6"/>
      <c r="D15" s="6">
        <v>3617</v>
      </c>
      <c r="E15" s="6" t="s">
        <v>23</v>
      </c>
      <c r="F15" s="2" t="s">
        <v>24</v>
      </c>
      <c r="G15" s="2" t="s">
        <v>52</v>
      </c>
      <c r="H15" s="2" t="s">
        <v>26</v>
      </c>
      <c r="I15" s="2"/>
      <c r="J15" s="2">
        <v>1318819</v>
      </c>
      <c r="K15" s="2">
        <v>4405</v>
      </c>
      <c r="L15" s="2" t="s">
        <v>27</v>
      </c>
      <c r="M15" s="2" t="s">
        <v>28</v>
      </c>
      <c r="N15" s="2">
        <v>10411</v>
      </c>
    </row>
    <row r="16" spans="1:14">
      <c r="A16" s="6" t="s">
        <v>53</v>
      </c>
      <c r="B16" s="6" t="s">
        <v>54</v>
      </c>
      <c r="C16" s="6"/>
      <c r="D16" s="6">
        <v>3617</v>
      </c>
      <c r="E16" s="6" t="s">
        <v>23</v>
      </c>
      <c r="F16" s="2" t="s">
        <v>24</v>
      </c>
      <c r="G16" s="2" t="s">
        <v>55</v>
      </c>
      <c r="H16" s="2" t="s">
        <v>26</v>
      </c>
      <c r="I16" s="2"/>
      <c r="J16" s="2">
        <v>1319617</v>
      </c>
      <c r="K16" s="2">
        <v>4405</v>
      </c>
      <c r="L16" s="2" t="s">
        <v>27</v>
      </c>
      <c r="M16" s="2" t="s">
        <v>28</v>
      </c>
      <c r="N16" s="2">
        <v>10412</v>
      </c>
    </row>
    <row r="17" spans="1:14">
      <c r="A17" s="6" t="s">
        <v>56</v>
      </c>
      <c r="B17" s="6" t="s">
        <v>57</v>
      </c>
      <c r="C17" s="6"/>
      <c r="D17" s="6">
        <v>3617</v>
      </c>
      <c r="E17" s="6" t="s">
        <v>23</v>
      </c>
      <c r="F17" s="2" t="s">
        <v>24</v>
      </c>
      <c r="G17" s="2" t="s">
        <v>58</v>
      </c>
      <c r="H17" s="2" t="s">
        <v>26</v>
      </c>
      <c r="I17" s="2"/>
      <c r="J17" s="2">
        <v>1319607</v>
      </c>
      <c r="K17" s="2">
        <v>4405</v>
      </c>
      <c r="L17" s="2" t="s">
        <v>27</v>
      </c>
      <c r="M17" s="2" t="s">
        <v>28</v>
      </c>
      <c r="N17" s="2">
        <v>10414</v>
      </c>
    </row>
    <row r="18" spans="1:14">
      <c r="A18" s="6" t="s">
        <v>59</v>
      </c>
      <c r="B18" s="6" t="s">
        <v>60</v>
      </c>
      <c r="C18" s="6"/>
      <c r="D18" s="6">
        <v>3617</v>
      </c>
      <c r="E18" s="6" t="s">
        <v>23</v>
      </c>
      <c r="F18" s="2" t="s">
        <v>24</v>
      </c>
      <c r="G18" s="2" t="s">
        <v>61</v>
      </c>
      <c r="H18" s="2" t="s">
        <v>26</v>
      </c>
      <c r="I18" s="2"/>
      <c r="J18" s="2">
        <v>1319579</v>
      </c>
      <c r="K18" s="2">
        <v>4405</v>
      </c>
      <c r="L18" s="2" t="s">
        <v>27</v>
      </c>
      <c r="M18" s="2" t="s">
        <v>28</v>
      </c>
      <c r="N18" s="2">
        <v>10487</v>
      </c>
    </row>
    <row r="19" spans="1:14">
      <c r="A19" s="6" t="s">
        <v>62</v>
      </c>
      <c r="B19" s="6" t="s">
        <v>63</v>
      </c>
      <c r="C19" s="6"/>
      <c r="D19" s="6">
        <v>3617</v>
      </c>
      <c r="E19" s="6" t="s">
        <v>23</v>
      </c>
      <c r="F19" s="2" t="s">
        <v>24</v>
      </c>
      <c r="G19" s="2" t="s">
        <v>64</v>
      </c>
      <c r="H19" s="2" t="s">
        <v>26</v>
      </c>
      <c r="I19" s="2"/>
      <c r="J19" s="2">
        <v>1317130</v>
      </c>
      <c r="K19" s="2">
        <v>4405</v>
      </c>
      <c r="L19" s="2" t="s">
        <v>27</v>
      </c>
      <c r="M19" s="2" t="s">
        <v>28</v>
      </c>
      <c r="N19" s="2">
        <v>10416</v>
      </c>
    </row>
    <row r="20" spans="1:14">
      <c r="A20" s="6" t="s">
        <v>65</v>
      </c>
      <c r="B20" s="6" t="s">
        <v>66</v>
      </c>
      <c r="C20" s="6"/>
      <c r="D20" s="6">
        <v>3617</v>
      </c>
      <c r="E20" s="6" t="s">
        <v>23</v>
      </c>
      <c r="F20" s="2" t="s">
        <v>24</v>
      </c>
      <c r="G20" s="2" t="s">
        <v>67</v>
      </c>
      <c r="H20" s="2" t="s">
        <v>26</v>
      </c>
      <c r="I20" s="2"/>
      <c r="J20" s="2">
        <v>1319309</v>
      </c>
      <c r="K20" s="2">
        <v>4405</v>
      </c>
      <c r="L20" s="2" t="s">
        <v>27</v>
      </c>
      <c r="M20" s="2" t="s">
        <v>28</v>
      </c>
      <c r="N20" s="2">
        <v>1253</v>
      </c>
    </row>
    <row r="21" spans="1:14">
      <c r="A21" s="6" t="s">
        <v>68</v>
      </c>
      <c r="B21" s="6" t="s">
        <v>69</v>
      </c>
      <c r="C21" s="6"/>
      <c r="D21" s="6">
        <v>3617</v>
      </c>
      <c r="E21" s="6" t="s">
        <v>23</v>
      </c>
      <c r="F21" s="2" t="s">
        <v>24</v>
      </c>
      <c r="G21" s="2" t="s">
        <v>70</v>
      </c>
      <c r="H21" s="2" t="s">
        <v>26</v>
      </c>
      <c r="I21" s="2"/>
      <c r="J21" s="2">
        <v>1317280</v>
      </c>
      <c r="K21" s="2">
        <v>4405</v>
      </c>
      <c r="L21" s="2" t="s">
        <v>27</v>
      </c>
      <c r="M21" s="2" t="s">
        <v>28</v>
      </c>
      <c r="N21" s="2">
        <v>8468</v>
      </c>
    </row>
    <row r="22" spans="1:14">
      <c r="A22" s="6" t="s">
        <v>71</v>
      </c>
      <c r="B22" s="6" t="s">
        <v>72</v>
      </c>
      <c r="C22" s="6"/>
      <c r="D22" s="6">
        <v>3617</v>
      </c>
      <c r="E22" s="6" t="s">
        <v>23</v>
      </c>
      <c r="F22" s="2" t="s">
        <v>24</v>
      </c>
      <c r="G22" s="2" t="s">
        <v>73</v>
      </c>
      <c r="H22" s="2" t="s">
        <v>26</v>
      </c>
      <c r="I22" s="2"/>
      <c r="J22" s="2">
        <v>1316803</v>
      </c>
      <c r="K22" s="2">
        <v>4405</v>
      </c>
      <c r="L22" s="2" t="s">
        <v>27</v>
      </c>
      <c r="M22" s="2" t="s">
        <v>28</v>
      </c>
      <c r="N22" s="2">
        <v>4578</v>
      </c>
    </row>
    <row r="23" spans="1:14">
      <c r="A23" s="6" t="s">
        <v>74</v>
      </c>
      <c r="B23" s="6" t="s">
        <v>75</v>
      </c>
      <c r="C23" s="6"/>
      <c r="D23" s="6">
        <v>3617</v>
      </c>
      <c r="E23" s="6" t="s">
        <v>23</v>
      </c>
      <c r="F23" s="2" t="s">
        <v>24</v>
      </c>
      <c r="G23" s="2" t="s">
        <v>76</v>
      </c>
      <c r="H23" s="2" t="s">
        <v>26</v>
      </c>
      <c r="I23" s="2"/>
      <c r="J23" s="2">
        <v>1317379</v>
      </c>
      <c r="K23" s="2">
        <v>4405</v>
      </c>
      <c r="L23" s="2" t="s">
        <v>27</v>
      </c>
      <c r="M23" s="2" t="s">
        <v>28</v>
      </c>
      <c r="N23" s="2">
        <v>10419</v>
      </c>
    </row>
    <row r="24" spans="1:14">
      <c r="A24" s="6" t="s">
        <v>77</v>
      </c>
      <c r="B24" s="6" t="s">
        <v>78</v>
      </c>
      <c r="C24" s="6"/>
      <c r="D24" s="6">
        <v>3617</v>
      </c>
      <c r="E24" s="6" t="s">
        <v>23</v>
      </c>
      <c r="F24" s="2" t="s">
        <v>24</v>
      </c>
      <c r="G24" s="2" t="s">
        <v>79</v>
      </c>
      <c r="H24" s="2" t="s">
        <v>26</v>
      </c>
      <c r="I24" s="2"/>
      <c r="J24" s="2">
        <v>1318946</v>
      </c>
      <c r="K24" s="2">
        <v>4405</v>
      </c>
      <c r="L24" s="2" t="s">
        <v>27</v>
      </c>
      <c r="M24" s="2" t="s">
        <v>28</v>
      </c>
      <c r="N24" s="2">
        <v>10420</v>
      </c>
    </row>
    <row r="25" spans="1:14">
      <c r="A25" s="6" t="s">
        <v>80</v>
      </c>
      <c r="B25" s="6" t="s">
        <v>81</v>
      </c>
      <c r="C25" s="6"/>
      <c r="D25" s="6">
        <v>3617</v>
      </c>
      <c r="E25" s="6" t="s">
        <v>23</v>
      </c>
      <c r="F25" s="2" t="s">
        <v>24</v>
      </c>
      <c r="G25" s="2" t="s">
        <v>82</v>
      </c>
      <c r="H25" s="2" t="s">
        <v>26</v>
      </c>
      <c r="I25" s="2"/>
      <c r="J25" s="2">
        <v>1316780</v>
      </c>
      <c r="K25" s="2">
        <v>4405</v>
      </c>
      <c r="L25" s="2" t="s">
        <v>27</v>
      </c>
      <c r="M25" s="2" t="s">
        <v>28</v>
      </c>
      <c r="N25" s="2">
        <v>10421</v>
      </c>
    </row>
    <row r="26" spans="1:14">
      <c r="A26" s="6" t="s">
        <v>83</v>
      </c>
      <c r="B26" s="6" t="s">
        <v>84</v>
      </c>
      <c r="C26" s="6"/>
      <c r="D26" s="6">
        <v>3617</v>
      </c>
      <c r="E26" s="6" t="s">
        <v>23</v>
      </c>
      <c r="F26" s="2" t="s">
        <v>24</v>
      </c>
      <c r="G26" s="2" t="s">
        <v>85</v>
      </c>
      <c r="H26" s="2" t="s">
        <v>26</v>
      </c>
      <c r="I26" s="2"/>
      <c r="J26" s="2">
        <v>1319376</v>
      </c>
      <c r="K26" s="2">
        <v>4405</v>
      </c>
      <c r="L26" s="2" t="s">
        <v>27</v>
      </c>
      <c r="M26" s="2" t="s">
        <v>28</v>
      </c>
      <c r="N26" s="2">
        <v>10422</v>
      </c>
    </row>
    <row r="27" spans="1:14">
      <c r="A27" s="6" t="s">
        <v>86</v>
      </c>
      <c r="B27" s="6" t="s">
        <v>87</v>
      </c>
      <c r="C27" s="6"/>
      <c r="D27" s="6">
        <v>3617</v>
      </c>
      <c r="E27" s="6" t="s">
        <v>23</v>
      </c>
      <c r="F27" s="2" t="s">
        <v>24</v>
      </c>
      <c r="G27" s="2" t="s">
        <v>88</v>
      </c>
      <c r="H27" s="2" t="s">
        <v>26</v>
      </c>
      <c r="I27" s="2"/>
      <c r="J27" s="2">
        <v>1317370</v>
      </c>
      <c r="K27" s="2">
        <v>4405</v>
      </c>
      <c r="L27" s="2" t="s">
        <v>27</v>
      </c>
      <c r="M27" s="2" t="s">
        <v>28</v>
      </c>
      <c r="N27" s="2">
        <v>10423</v>
      </c>
    </row>
    <row r="28" spans="1:14">
      <c r="A28" s="6" t="s">
        <v>89</v>
      </c>
      <c r="B28" s="6" t="s">
        <v>90</v>
      </c>
      <c r="C28" s="6"/>
      <c r="D28" s="6">
        <v>3617</v>
      </c>
      <c r="E28" s="6" t="s">
        <v>23</v>
      </c>
      <c r="F28" s="2" t="s">
        <v>24</v>
      </c>
      <c r="G28" s="2" t="s">
        <v>91</v>
      </c>
      <c r="H28" s="2" t="s">
        <v>26</v>
      </c>
      <c r="I28" s="2"/>
      <c r="J28" s="2">
        <v>1317028</v>
      </c>
      <c r="K28" s="2">
        <v>4405</v>
      </c>
      <c r="L28" s="2" t="s">
        <v>27</v>
      </c>
      <c r="M28" s="2" t="s">
        <v>28</v>
      </c>
      <c r="N28" s="2">
        <v>10424</v>
      </c>
    </row>
    <row r="29" spans="1:14">
      <c r="A29" s="6" t="s">
        <v>92</v>
      </c>
      <c r="B29" s="6" t="s">
        <v>93</v>
      </c>
      <c r="C29" s="6"/>
      <c r="D29" s="6">
        <v>3617</v>
      </c>
      <c r="E29" s="6" t="s">
        <v>23</v>
      </c>
      <c r="F29" s="2" t="s">
        <v>24</v>
      </c>
      <c r="G29" s="2" t="s">
        <v>94</v>
      </c>
      <c r="H29" s="2" t="s">
        <v>26</v>
      </c>
      <c r="I29" s="2"/>
      <c r="J29" s="2">
        <v>1319591</v>
      </c>
      <c r="K29" s="2">
        <v>4405</v>
      </c>
      <c r="L29" s="2" t="s">
        <v>27</v>
      </c>
      <c r="M29" s="2" t="s">
        <v>28</v>
      </c>
      <c r="N29" s="2">
        <v>10425</v>
      </c>
    </row>
    <row r="30" spans="1:14">
      <c r="A30" s="6" t="s">
        <v>95</v>
      </c>
      <c r="B30" s="6" t="s">
        <v>96</v>
      </c>
      <c r="C30" s="6"/>
      <c r="D30" s="6">
        <v>3617</v>
      </c>
      <c r="E30" s="6" t="s">
        <v>23</v>
      </c>
      <c r="F30" s="2" t="s">
        <v>24</v>
      </c>
      <c r="G30" s="2" t="s">
        <v>97</v>
      </c>
      <c r="H30" s="2" t="s">
        <v>26</v>
      </c>
      <c r="I30" s="2"/>
      <c r="J30" s="2">
        <v>1317581</v>
      </c>
      <c r="K30" s="2">
        <v>4405</v>
      </c>
      <c r="L30" s="2" t="s">
        <v>27</v>
      </c>
      <c r="M30" s="2" t="s">
        <v>28</v>
      </c>
      <c r="N30" s="2">
        <v>10426</v>
      </c>
    </row>
    <row r="31" spans="1:14">
      <c r="A31" s="7" t="s">
        <v>98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f>ROWS(A7:N30)</f>
        <v>24</v>
      </c>
    </row>
    <row r="32" spans="1:14">
      <c r="A32" s="7" t="s">
        <v>98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f>ROWS(A7:N30)</f>
        <v>24</v>
      </c>
    </row>
    <row r="33" spans="1:14" customHeight="1" ht="20">
      <c r="A33" s="4" t="s">
        <v>99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customHeight="1" ht="20">
      <c r="A34" s="4" t="s">
        <v>100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13</v>
      </c>
      <c r="H35" s="5" t="s">
        <v>14</v>
      </c>
      <c r="I35" s="5" t="s">
        <v>15</v>
      </c>
      <c r="J35" s="5" t="s">
        <v>16</v>
      </c>
      <c r="K35" s="5" t="s">
        <v>17</v>
      </c>
      <c r="L35" s="5" t="s">
        <v>18</v>
      </c>
      <c r="M35" s="5" t="s">
        <v>19</v>
      </c>
      <c r="N35" s="5" t="s">
        <v>20</v>
      </c>
    </row>
    <row r="36" spans="1:14">
      <c r="A36" s="6" t="s">
        <v>101</v>
      </c>
      <c r="B36" s="6" t="s">
        <v>102</v>
      </c>
      <c r="C36" s="6"/>
      <c r="D36" s="6">
        <v>953</v>
      </c>
      <c r="E36" s="6" t="s">
        <v>23</v>
      </c>
      <c r="F36" s="2" t="s">
        <v>24</v>
      </c>
      <c r="G36" s="2" t="s">
        <v>103</v>
      </c>
      <c r="H36" s="2" t="s">
        <v>26</v>
      </c>
      <c r="I36" s="2"/>
      <c r="J36" s="2">
        <v>1318525</v>
      </c>
      <c r="K36" s="2">
        <v>4397</v>
      </c>
      <c r="L36" s="2" t="s">
        <v>27</v>
      </c>
      <c r="M36" s="2" t="s">
        <v>28</v>
      </c>
      <c r="N36" s="2">
        <v>6618</v>
      </c>
    </row>
    <row r="37" spans="1:14">
      <c r="A37" s="6" t="s">
        <v>104</v>
      </c>
      <c r="B37" s="6" t="s">
        <v>105</v>
      </c>
      <c r="C37" s="6"/>
      <c r="D37" s="6">
        <v>953</v>
      </c>
      <c r="E37" s="6" t="s">
        <v>23</v>
      </c>
      <c r="F37" s="2" t="s">
        <v>24</v>
      </c>
      <c r="G37" s="2" t="s">
        <v>106</v>
      </c>
      <c r="H37" s="2" t="s">
        <v>26</v>
      </c>
      <c r="I37" s="2"/>
      <c r="J37" s="2">
        <v>1321954</v>
      </c>
      <c r="K37" s="2">
        <v>4397</v>
      </c>
      <c r="L37" s="2" t="s">
        <v>27</v>
      </c>
      <c r="M37" s="2" t="s">
        <v>28</v>
      </c>
      <c r="N37" s="2">
        <v>10491</v>
      </c>
    </row>
    <row r="38" spans="1:14">
      <c r="A38" s="7" t="s">
        <v>98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>
        <f>ROWS(A36:N37)</f>
        <v>2</v>
      </c>
    </row>
    <row r="39" spans="1:14">
      <c r="A39" s="7" t="s">
        <v>98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>
        <f>ROWS(A36:N37)</f>
        <v>2</v>
      </c>
    </row>
    <row r="40" spans="1:14" customHeight="1" ht="20">
      <c r="A40" s="4" t="s">
        <v>107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customHeight="1" ht="20">
      <c r="A41" s="4" t="s">
        <v>108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5" t="s">
        <v>7</v>
      </c>
      <c r="B42" s="5" t="s">
        <v>8</v>
      </c>
      <c r="C42" s="5" t="s">
        <v>9</v>
      </c>
      <c r="D42" s="5" t="s">
        <v>10</v>
      </c>
      <c r="E42" s="5" t="s">
        <v>11</v>
      </c>
      <c r="F42" s="5" t="s">
        <v>12</v>
      </c>
      <c r="G42" s="5" t="s">
        <v>13</v>
      </c>
      <c r="H42" s="5" t="s">
        <v>14</v>
      </c>
      <c r="I42" s="5" t="s">
        <v>15</v>
      </c>
      <c r="J42" s="5" t="s">
        <v>16</v>
      </c>
      <c r="K42" s="5" t="s">
        <v>17</v>
      </c>
      <c r="L42" s="5" t="s">
        <v>18</v>
      </c>
      <c r="M42" s="5" t="s">
        <v>19</v>
      </c>
      <c r="N42" s="5" t="s">
        <v>20</v>
      </c>
    </row>
    <row r="43" spans="1:14">
      <c r="A43" s="6" t="s">
        <v>109</v>
      </c>
      <c r="B43" s="6" t="s">
        <v>110</v>
      </c>
      <c r="C43" s="6"/>
      <c r="D43" s="6">
        <v>3117</v>
      </c>
      <c r="E43" s="6" t="s">
        <v>23</v>
      </c>
      <c r="F43" s="2" t="s">
        <v>24</v>
      </c>
      <c r="G43" s="2" t="s">
        <v>111</v>
      </c>
      <c r="H43" s="2" t="s">
        <v>26</v>
      </c>
      <c r="I43" s="2"/>
      <c r="J43" s="2">
        <v>1321042</v>
      </c>
      <c r="K43" s="2">
        <v>4399</v>
      </c>
      <c r="L43" s="2" t="s">
        <v>27</v>
      </c>
      <c r="M43" s="2" t="s">
        <v>28</v>
      </c>
      <c r="N43" s="2">
        <v>10620</v>
      </c>
    </row>
    <row r="44" spans="1:14">
      <c r="A44" s="6" t="s">
        <v>112</v>
      </c>
      <c r="B44" s="6" t="s">
        <v>113</v>
      </c>
      <c r="C44" s="6"/>
      <c r="D44" s="6">
        <v>3117</v>
      </c>
      <c r="E44" s="6" t="s">
        <v>23</v>
      </c>
      <c r="F44" s="2" t="s">
        <v>24</v>
      </c>
      <c r="G44" s="2" t="s">
        <v>114</v>
      </c>
      <c r="H44" s="2" t="s">
        <v>26</v>
      </c>
      <c r="I44" s="2"/>
      <c r="J44" s="2">
        <v>1319146</v>
      </c>
      <c r="K44" s="2">
        <v>4399</v>
      </c>
      <c r="L44" s="2" t="s">
        <v>27</v>
      </c>
      <c r="M44" s="2" t="s">
        <v>28</v>
      </c>
      <c r="N44" s="2">
        <v>12312</v>
      </c>
    </row>
    <row r="45" spans="1:14">
      <c r="A45" s="6" t="s">
        <v>115</v>
      </c>
      <c r="B45" s="6" t="s">
        <v>116</v>
      </c>
      <c r="C45" s="6"/>
      <c r="D45" s="6">
        <v>3117</v>
      </c>
      <c r="E45" s="6" t="s">
        <v>23</v>
      </c>
      <c r="F45" s="2" t="s">
        <v>24</v>
      </c>
      <c r="G45" s="2" t="s">
        <v>117</v>
      </c>
      <c r="H45" s="2" t="s">
        <v>26</v>
      </c>
      <c r="I45" s="2"/>
      <c r="J45" s="2">
        <v>1316794</v>
      </c>
      <c r="K45" s="2">
        <v>4399</v>
      </c>
      <c r="L45" s="2" t="s">
        <v>27</v>
      </c>
      <c r="M45" s="2" t="s">
        <v>28</v>
      </c>
      <c r="N45" s="2">
        <v>12313</v>
      </c>
    </row>
    <row r="46" spans="1:14">
      <c r="A46" s="6" t="s">
        <v>118</v>
      </c>
      <c r="B46" s="6" t="s">
        <v>119</v>
      </c>
      <c r="C46" s="6"/>
      <c r="D46" s="6">
        <v>3117</v>
      </c>
      <c r="E46" s="6" t="s">
        <v>23</v>
      </c>
      <c r="F46" s="2" t="s">
        <v>24</v>
      </c>
      <c r="G46" s="2" t="s">
        <v>120</v>
      </c>
      <c r="H46" s="2" t="s">
        <v>26</v>
      </c>
      <c r="I46" s="2"/>
      <c r="J46" s="2">
        <v>1320258</v>
      </c>
      <c r="K46" s="2">
        <v>4399</v>
      </c>
      <c r="L46" s="2" t="s">
        <v>27</v>
      </c>
      <c r="M46" s="2" t="s">
        <v>28</v>
      </c>
      <c r="N46" s="2">
        <v>10394</v>
      </c>
    </row>
    <row r="47" spans="1:14">
      <c r="A47" s="6" t="s">
        <v>121</v>
      </c>
      <c r="B47" s="6" t="s">
        <v>122</v>
      </c>
      <c r="C47" s="6"/>
      <c r="D47" s="6">
        <v>3117</v>
      </c>
      <c r="E47" s="6" t="s">
        <v>23</v>
      </c>
      <c r="F47" s="2" t="s">
        <v>24</v>
      </c>
      <c r="G47" s="2" t="s">
        <v>123</v>
      </c>
      <c r="H47" s="2" t="s">
        <v>26</v>
      </c>
      <c r="I47" s="2"/>
      <c r="J47" s="2">
        <v>1316927</v>
      </c>
      <c r="K47" s="2">
        <v>4399</v>
      </c>
      <c r="L47" s="2" t="s">
        <v>27</v>
      </c>
      <c r="M47" s="2" t="s">
        <v>28</v>
      </c>
      <c r="N47" s="2">
        <v>12315</v>
      </c>
    </row>
    <row r="48" spans="1:14">
      <c r="A48" s="7" t="s">
        <v>98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f>ROWS(A43:N47)</f>
        <v>5</v>
      </c>
    </row>
    <row r="49" spans="1:14" customHeight="1" ht="20">
      <c r="A49" s="4" t="s">
        <v>124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5" t="s">
        <v>7</v>
      </c>
      <c r="B50" s="5" t="s">
        <v>8</v>
      </c>
      <c r="C50" s="5" t="s">
        <v>9</v>
      </c>
      <c r="D50" s="5" t="s">
        <v>10</v>
      </c>
      <c r="E50" s="5" t="s">
        <v>11</v>
      </c>
      <c r="F50" s="5" t="s">
        <v>12</v>
      </c>
      <c r="G50" s="5" t="s">
        <v>13</v>
      </c>
      <c r="H50" s="5" t="s">
        <v>14</v>
      </c>
      <c r="I50" s="5" t="s">
        <v>15</v>
      </c>
      <c r="J50" s="5" t="s">
        <v>16</v>
      </c>
      <c r="K50" s="5" t="s">
        <v>17</v>
      </c>
      <c r="L50" s="5" t="s">
        <v>18</v>
      </c>
      <c r="M50" s="5" t="s">
        <v>19</v>
      </c>
      <c r="N50" s="5" t="s">
        <v>20</v>
      </c>
    </row>
    <row r="51" spans="1:14">
      <c r="A51" s="6" t="s">
        <v>125</v>
      </c>
      <c r="B51" s="6" t="s">
        <v>126</v>
      </c>
      <c r="C51" s="6"/>
      <c r="D51" s="6">
        <v>3117</v>
      </c>
      <c r="E51" s="6" t="s">
        <v>23</v>
      </c>
      <c r="F51" s="2" t="s">
        <v>24</v>
      </c>
      <c r="G51" s="2" t="s">
        <v>127</v>
      </c>
      <c r="H51" s="2" t="s">
        <v>26</v>
      </c>
      <c r="I51" s="2"/>
      <c r="J51" s="2">
        <v>1324122</v>
      </c>
      <c r="K51" s="2">
        <v>4399</v>
      </c>
      <c r="L51" s="2" t="s">
        <v>27</v>
      </c>
      <c r="M51" s="2" t="s">
        <v>28</v>
      </c>
      <c r="N51" s="2">
        <v>12481</v>
      </c>
    </row>
    <row r="52" spans="1:14">
      <c r="A52" s="6" t="s">
        <v>128</v>
      </c>
      <c r="B52" s="6" t="s">
        <v>129</v>
      </c>
      <c r="C52" s="6"/>
      <c r="D52" s="6">
        <v>3117</v>
      </c>
      <c r="E52" s="6" t="s">
        <v>23</v>
      </c>
      <c r="F52" s="2" t="s">
        <v>24</v>
      </c>
      <c r="G52" s="2" t="s">
        <v>130</v>
      </c>
      <c r="H52" s="2" t="s">
        <v>26</v>
      </c>
      <c r="I52" s="2"/>
      <c r="J52" s="2">
        <v>1326398</v>
      </c>
      <c r="K52" s="2">
        <v>4399</v>
      </c>
      <c r="L52" s="2" t="s">
        <v>27</v>
      </c>
      <c r="M52" s="2" t="s">
        <v>28</v>
      </c>
      <c r="N52" s="2">
        <v>12483</v>
      </c>
    </row>
    <row r="53" spans="1:14">
      <c r="A53" s="6" t="s">
        <v>131</v>
      </c>
      <c r="B53" s="6" t="s">
        <v>132</v>
      </c>
      <c r="C53" s="6"/>
      <c r="D53" s="6">
        <v>3117</v>
      </c>
      <c r="E53" s="6" t="s">
        <v>23</v>
      </c>
      <c r="F53" s="2" t="s">
        <v>24</v>
      </c>
      <c r="G53" s="2" t="s">
        <v>133</v>
      </c>
      <c r="H53" s="2" t="s">
        <v>26</v>
      </c>
      <c r="I53" s="2"/>
      <c r="J53" s="2">
        <v>1319199</v>
      </c>
      <c r="K53" s="2">
        <v>4399</v>
      </c>
      <c r="L53" s="2" t="s">
        <v>27</v>
      </c>
      <c r="M53" s="2" t="s">
        <v>28</v>
      </c>
      <c r="N53" s="2">
        <v>12467</v>
      </c>
    </row>
    <row r="54" spans="1:14">
      <c r="A54" s="6" t="s">
        <v>134</v>
      </c>
      <c r="B54" s="6" t="s">
        <v>135</v>
      </c>
      <c r="C54" s="6"/>
      <c r="D54" s="6">
        <v>3117</v>
      </c>
      <c r="E54" s="6" t="s">
        <v>23</v>
      </c>
      <c r="F54" s="2" t="s">
        <v>24</v>
      </c>
      <c r="G54" s="2" t="s">
        <v>136</v>
      </c>
      <c r="H54" s="2" t="s">
        <v>26</v>
      </c>
      <c r="I54" s="2"/>
      <c r="J54" s="2">
        <v>1319257</v>
      </c>
      <c r="K54" s="2">
        <v>4399</v>
      </c>
      <c r="L54" s="2" t="s">
        <v>27</v>
      </c>
      <c r="M54" s="2" t="s">
        <v>28</v>
      </c>
      <c r="N54" s="2">
        <v>12466</v>
      </c>
    </row>
    <row r="55" spans="1:14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>
        <f>ROWS(A51:N54)</f>
        <v>4</v>
      </c>
    </row>
    <row r="56" spans="1:14">
      <c r="A56" s="7" t="s">
        <v>98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>
        <f>ROWS(A43:N47) + ROWS(A51:N54)</f>
        <v>9</v>
      </c>
    </row>
    <row r="57" spans="1:14" customHeight="1" ht="20">
      <c r="A57" s="4" t="s">
        <v>137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customHeight="1" ht="20">
      <c r="A58" s="4" t="s">
        <v>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13</v>
      </c>
      <c r="H59" s="5" t="s">
        <v>14</v>
      </c>
      <c r="I59" s="5" t="s">
        <v>15</v>
      </c>
      <c r="J59" s="5" t="s">
        <v>16</v>
      </c>
      <c r="K59" s="5" t="s">
        <v>17</v>
      </c>
      <c r="L59" s="5" t="s">
        <v>18</v>
      </c>
      <c r="M59" s="5" t="s">
        <v>19</v>
      </c>
      <c r="N59" s="5" t="s">
        <v>20</v>
      </c>
    </row>
    <row r="60" spans="1:14">
      <c r="A60" s="6" t="s">
        <v>138</v>
      </c>
      <c r="B60" s="6" t="s">
        <v>139</v>
      </c>
      <c r="C60" s="6"/>
      <c r="D60" s="6">
        <v>3602</v>
      </c>
      <c r="E60" s="6" t="s">
        <v>23</v>
      </c>
      <c r="F60" s="2" t="s">
        <v>24</v>
      </c>
      <c r="G60" s="2" t="s">
        <v>140</v>
      </c>
      <c r="H60" s="2" t="s">
        <v>26</v>
      </c>
      <c r="I60" s="2"/>
      <c r="J60" s="2">
        <v>1317683</v>
      </c>
      <c r="K60" s="2">
        <v>4402</v>
      </c>
      <c r="L60" s="2" t="s">
        <v>27</v>
      </c>
      <c r="M60" s="2" t="s">
        <v>28</v>
      </c>
      <c r="N60" s="2">
        <v>1234</v>
      </c>
    </row>
    <row r="61" spans="1:14">
      <c r="A61" s="6" t="s">
        <v>141</v>
      </c>
      <c r="B61" s="6" t="s">
        <v>142</v>
      </c>
      <c r="C61" s="6"/>
      <c r="D61" s="6">
        <v>3602</v>
      </c>
      <c r="E61" s="6" t="s">
        <v>23</v>
      </c>
      <c r="F61" s="2" t="s">
        <v>24</v>
      </c>
      <c r="G61" s="2" t="s">
        <v>143</v>
      </c>
      <c r="H61" s="2" t="s">
        <v>26</v>
      </c>
      <c r="I61" s="2"/>
      <c r="J61" s="2">
        <v>1317173</v>
      </c>
      <c r="K61" s="2">
        <v>4402</v>
      </c>
      <c r="L61" s="2" t="s">
        <v>27</v>
      </c>
      <c r="M61" s="2" t="s">
        <v>28</v>
      </c>
      <c r="N61" s="2">
        <v>12316</v>
      </c>
    </row>
    <row r="62" spans="1:14">
      <c r="A62" s="6" t="s">
        <v>144</v>
      </c>
      <c r="B62" s="6" t="s">
        <v>145</v>
      </c>
      <c r="C62" s="6"/>
      <c r="D62" s="6">
        <v>3602</v>
      </c>
      <c r="E62" s="6" t="s">
        <v>23</v>
      </c>
      <c r="F62" s="2" t="s">
        <v>24</v>
      </c>
      <c r="G62" s="2" t="s">
        <v>146</v>
      </c>
      <c r="H62" s="2" t="s">
        <v>26</v>
      </c>
      <c r="I62" s="2"/>
      <c r="J62" s="2">
        <v>1317830</v>
      </c>
      <c r="K62" s="2">
        <v>4402</v>
      </c>
      <c r="L62" s="2" t="s">
        <v>27</v>
      </c>
      <c r="M62" s="2" t="s">
        <v>28</v>
      </c>
      <c r="N62" s="2">
        <v>12317</v>
      </c>
    </row>
    <row r="63" spans="1:14">
      <c r="A63" s="6" t="s">
        <v>147</v>
      </c>
      <c r="B63" s="6" t="s">
        <v>148</v>
      </c>
      <c r="C63" s="6"/>
      <c r="D63" s="6">
        <v>3602</v>
      </c>
      <c r="E63" s="6" t="s">
        <v>23</v>
      </c>
      <c r="F63" s="2" t="s">
        <v>24</v>
      </c>
      <c r="G63" s="2" t="s">
        <v>149</v>
      </c>
      <c r="H63" s="2" t="s">
        <v>26</v>
      </c>
      <c r="I63" s="2"/>
      <c r="J63" s="2">
        <v>1316888</v>
      </c>
      <c r="K63" s="2">
        <v>4402</v>
      </c>
      <c r="L63" s="2" t="s">
        <v>27</v>
      </c>
      <c r="M63" s="2" t="s">
        <v>28</v>
      </c>
      <c r="N63" s="2">
        <v>1625</v>
      </c>
    </row>
    <row r="64" spans="1:14">
      <c r="A64" s="6" t="s">
        <v>150</v>
      </c>
      <c r="B64" s="6" t="s">
        <v>151</v>
      </c>
      <c r="C64" s="6"/>
      <c r="D64" s="6">
        <v>3602</v>
      </c>
      <c r="E64" s="6" t="s">
        <v>23</v>
      </c>
      <c r="F64" s="2" t="s">
        <v>24</v>
      </c>
      <c r="G64" s="2" t="s">
        <v>152</v>
      </c>
      <c r="H64" s="2" t="s">
        <v>26</v>
      </c>
      <c r="I64" s="2"/>
      <c r="J64" s="2">
        <v>1317031</v>
      </c>
      <c r="K64" s="2">
        <v>4402</v>
      </c>
      <c r="L64" s="2" t="s">
        <v>27</v>
      </c>
      <c r="M64" s="2" t="s">
        <v>28</v>
      </c>
      <c r="N64" s="2">
        <v>6680</v>
      </c>
    </row>
    <row r="65" spans="1:14">
      <c r="A65" s="6" t="s">
        <v>153</v>
      </c>
      <c r="B65" s="6" t="s">
        <v>154</v>
      </c>
      <c r="C65" s="6"/>
      <c r="D65" s="6">
        <v>3602</v>
      </c>
      <c r="E65" s="6" t="s">
        <v>23</v>
      </c>
      <c r="F65" s="2" t="s">
        <v>24</v>
      </c>
      <c r="G65" s="2" t="s">
        <v>155</v>
      </c>
      <c r="H65" s="2" t="s">
        <v>26</v>
      </c>
      <c r="I65" s="2"/>
      <c r="J65" s="2">
        <v>1316807</v>
      </c>
      <c r="K65" s="2">
        <v>4402</v>
      </c>
      <c r="L65" s="2" t="s">
        <v>27</v>
      </c>
      <c r="M65" s="2" t="s">
        <v>28</v>
      </c>
      <c r="N65" s="2">
        <v>12318</v>
      </c>
    </row>
    <row r="66" spans="1:14">
      <c r="A66" s="6" t="s">
        <v>156</v>
      </c>
      <c r="B66" s="6" t="s">
        <v>157</v>
      </c>
      <c r="C66" s="6"/>
      <c r="D66" s="6">
        <v>3602</v>
      </c>
      <c r="E66" s="6" t="s">
        <v>23</v>
      </c>
      <c r="F66" s="2" t="s">
        <v>24</v>
      </c>
      <c r="G66" s="2" t="s">
        <v>158</v>
      </c>
      <c r="H66" s="2" t="s">
        <v>26</v>
      </c>
      <c r="I66" s="2"/>
      <c r="J66" s="2">
        <v>1319411</v>
      </c>
      <c r="K66" s="2">
        <v>4402</v>
      </c>
      <c r="L66" s="2" t="s">
        <v>27</v>
      </c>
      <c r="M66" s="2" t="s">
        <v>28</v>
      </c>
      <c r="N66" s="2">
        <v>12319</v>
      </c>
    </row>
    <row r="67" spans="1:14">
      <c r="A67" s="6" t="s">
        <v>159</v>
      </c>
      <c r="B67" s="6" t="s">
        <v>160</v>
      </c>
      <c r="C67" s="6"/>
      <c r="D67" s="6">
        <v>3602</v>
      </c>
      <c r="E67" s="6" t="s">
        <v>23</v>
      </c>
      <c r="F67" s="2" t="s">
        <v>24</v>
      </c>
      <c r="G67" s="2" t="s">
        <v>161</v>
      </c>
      <c r="H67" s="2" t="s">
        <v>26</v>
      </c>
      <c r="I67" s="2"/>
      <c r="J67" s="2">
        <v>1316876</v>
      </c>
      <c r="K67" s="2">
        <v>4402</v>
      </c>
      <c r="L67" s="2" t="s">
        <v>27</v>
      </c>
      <c r="M67" s="2" t="s">
        <v>28</v>
      </c>
      <c r="N67" s="2">
        <v>3123</v>
      </c>
    </row>
    <row r="68" spans="1:14">
      <c r="A68" s="6" t="s">
        <v>162</v>
      </c>
      <c r="B68" s="6" t="s">
        <v>163</v>
      </c>
      <c r="C68" s="6"/>
      <c r="D68" s="6">
        <v>3602</v>
      </c>
      <c r="E68" s="6" t="s">
        <v>23</v>
      </c>
      <c r="F68" s="2" t="s">
        <v>24</v>
      </c>
      <c r="G68" s="2" t="s">
        <v>164</v>
      </c>
      <c r="H68" s="2" t="s">
        <v>26</v>
      </c>
      <c r="I68" s="2"/>
      <c r="J68" s="2">
        <v>1318032</v>
      </c>
      <c r="K68" s="2">
        <v>4402</v>
      </c>
      <c r="L68" s="2" t="s">
        <v>27</v>
      </c>
      <c r="M68" s="2" t="s">
        <v>28</v>
      </c>
      <c r="N68" s="2">
        <v>10406</v>
      </c>
    </row>
    <row r="69" spans="1:14">
      <c r="A69" s="6" t="s">
        <v>165</v>
      </c>
      <c r="B69" s="6" t="s">
        <v>166</v>
      </c>
      <c r="C69" s="6"/>
      <c r="D69" s="6">
        <v>3602</v>
      </c>
      <c r="E69" s="6" t="s">
        <v>23</v>
      </c>
      <c r="F69" s="2" t="s">
        <v>24</v>
      </c>
      <c r="G69" s="2" t="s">
        <v>167</v>
      </c>
      <c r="H69" s="2" t="s">
        <v>26</v>
      </c>
      <c r="I69" s="2"/>
      <c r="J69" s="2">
        <v>1316811</v>
      </c>
      <c r="K69" s="2">
        <v>4402</v>
      </c>
      <c r="L69" s="2" t="s">
        <v>27</v>
      </c>
      <c r="M69" s="2" t="s">
        <v>28</v>
      </c>
      <c r="N69" s="2">
        <v>12320</v>
      </c>
    </row>
    <row r="70" spans="1:14">
      <c r="A70" s="6" t="s">
        <v>168</v>
      </c>
      <c r="B70" s="6" t="s">
        <v>169</v>
      </c>
      <c r="C70" s="6"/>
      <c r="D70" s="6">
        <v>3602</v>
      </c>
      <c r="E70" s="6" t="s">
        <v>23</v>
      </c>
      <c r="F70" s="2" t="s">
        <v>24</v>
      </c>
      <c r="G70" s="2" t="s">
        <v>170</v>
      </c>
      <c r="H70" s="2" t="s">
        <v>26</v>
      </c>
      <c r="I70" s="2"/>
      <c r="J70" s="2">
        <v>1321001</v>
      </c>
      <c r="K70" s="2">
        <v>4402</v>
      </c>
      <c r="L70" s="2" t="s">
        <v>27</v>
      </c>
      <c r="M70" s="2" t="s">
        <v>28</v>
      </c>
      <c r="N70" s="2">
        <v>12321</v>
      </c>
    </row>
    <row r="71" spans="1:14">
      <c r="A71" s="6" t="s">
        <v>171</v>
      </c>
      <c r="B71" s="6" t="s">
        <v>172</v>
      </c>
      <c r="C71" s="6"/>
      <c r="D71" s="6">
        <v>3602</v>
      </c>
      <c r="E71" s="6" t="s">
        <v>23</v>
      </c>
      <c r="F71" s="2" t="s">
        <v>24</v>
      </c>
      <c r="G71" s="2" t="s">
        <v>173</v>
      </c>
      <c r="H71" s="2" t="s">
        <v>26</v>
      </c>
      <c r="I71" s="2"/>
      <c r="J71" s="2">
        <v>1316861</v>
      </c>
      <c r="K71" s="2">
        <v>4402</v>
      </c>
      <c r="L71" s="2" t="s">
        <v>27</v>
      </c>
      <c r="M71" s="2" t="s">
        <v>28</v>
      </c>
      <c r="N71" s="2">
        <v>12322</v>
      </c>
    </row>
    <row r="72" spans="1:14">
      <c r="A72" s="6" t="s">
        <v>174</v>
      </c>
      <c r="B72" s="6" t="s">
        <v>175</v>
      </c>
      <c r="C72" s="6"/>
      <c r="D72" s="6">
        <v>3602</v>
      </c>
      <c r="E72" s="6" t="s">
        <v>23</v>
      </c>
      <c r="F72" s="2" t="s">
        <v>24</v>
      </c>
      <c r="G72" s="2" t="s">
        <v>176</v>
      </c>
      <c r="H72" s="2" t="s">
        <v>26</v>
      </c>
      <c r="I72" s="2"/>
      <c r="J72" s="2">
        <v>1317741</v>
      </c>
      <c r="K72" s="2">
        <v>4402</v>
      </c>
      <c r="L72" s="2" t="s">
        <v>27</v>
      </c>
      <c r="M72" s="2" t="s">
        <v>28</v>
      </c>
      <c r="N72" s="2">
        <v>12323</v>
      </c>
    </row>
    <row r="73" spans="1:14">
      <c r="A73" s="6" t="s">
        <v>177</v>
      </c>
      <c r="B73" s="6" t="s">
        <v>178</v>
      </c>
      <c r="C73" s="6"/>
      <c r="D73" s="6">
        <v>3602</v>
      </c>
      <c r="E73" s="6" t="s">
        <v>23</v>
      </c>
      <c r="F73" s="2" t="s">
        <v>24</v>
      </c>
      <c r="G73" s="2" t="s">
        <v>179</v>
      </c>
      <c r="H73" s="2" t="s">
        <v>26</v>
      </c>
      <c r="I73" s="2"/>
      <c r="J73" s="2">
        <v>1317086</v>
      </c>
      <c r="K73" s="2">
        <v>4402</v>
      </c>
      <c r="L73" s="2" t="s">
        <v>27</v>
      </c>
      <c r="M73" s="2" t="s">
        <v>28</v>
      </c>
      <c r="N73" s="2">
        <v>12324</v>
      </c>
    </row>
    <row r="74" spans="1:14">
      <c r="A74" s="6" t="s">
        <v>180</v>
      </c>
      <c r="B74" s="6" t="s">
        <v>181</v>
      </c>
      <c r="C74" s="6"/>
      <c r="D74" s="6">
        <v>3602</v>
      </c>
      <c r="E74" s="6" t="s">
        <v>23</v>
      </c>
      <c r="F74" s="2" t="s">
        <v>24</v>
      </c>
      <c r="G74" s="2" t="s">
        <v>182</v>
      </c>
      <c r="H74" s="2" t="s">
        <v>26</v>
      </c>
      <c r="I74" s="2"/>
      <c r="J74" s="2">
        <v>1317868</v>
      </c>
      <c r="K74" s="2">
        <v>4402</v>
      </c>
      <c r="L74" s="2" t="s">
        <v>27</v>
      </c>
      <c r="M74" s="2" t="s">
        <v>28</v>
      </c>
      <c r="N74" s="2">
        <v>12325</v>
      </c>
    </row>
    <row r="75" spans="1:14">
      <c r="A75" s="6" t="s">
        <v>183</v>
      </c>
      <c r="B75" s="6" t="s">
        <v>184</v>
      </c>
      <c r="C75" s="6"/>
      <c r="D75" s="6">
        <v>3602</v>
      </c>
      <c r="E75" s="6" t="s">
        <v>23</v>
      </c>
      <c r="F75" s="2" t="s">
        <v>24</v>
      </c>
      <c r="G75" s="2" t="s">
        <v>185</v>
      </c>
      <c r="H75" s="2" t="s">
        <v>26</v>
      </c>
      <c r="I75" s="2"/>
      <c r="J75" s="2">
        <v>1318263</v>
      </c>
      <c r="K75" s="2">
        <v>4402</v>
      </c>
      <c r="L75" s="2" t="s">
        <v>27</v>
      </c>
      <c r="M75" s="2" t="s">
        <v>28</v>
      </c>
      <c r="N75" s="2">
        <v>12326</v>
      </c>
    </row>
    <row r="76" spans="1:14">
      <c r="A76" s="6" t="s">
        <v>186</v>
      </c>
      <c r="B76" s="6" t="s">
        <v>187</v>
      </c>
      <c r="C76" s="6"/>
      <c r="D76" s="6">
        <v>3602</v>
      </c>
      <c r="E76" s="6" t="s">
        <v>23</v>
      </c>
      <c r="F76" s="2" t="s">
        <v>24</v>
      </c>
      <c r="G76" s="2" t="s">
        <v>188</v>
      </c>
      <c r="H76" s="2" t="s">
        <v>26</v>
      </c>
      <c r="I76" s="2"/>
      <c r="J76" s="2">
        <v>1316934</v>
      </c>
      <c r="K76" s="2">
        <v>4402</v>
      </c>
      <c r="L76" s="2" t="s">
        <v>27</v>
      </c>
      <c r="M76" s="2" t="s">
        <v>28</v>
      </c>
      <c r="N76" s="2">
        <v>1628</v>
      </c>
    </row>
    <row r="77" spans="1:14">
      <c r="A77" s="6" t="s">
        <v>189</v>
      </c>
      <c r="B77" s="6" t="s">
        <v>190</v>
      </c>
      <c r="C77" s="6"/>
      <c r="D77" s="6">
        <v>3602</v>
      </c>
      <c r="E77" s="6" t="s">
        <v>23</v>
      </c>
      <c r="F77" s="2" t="s">
        <v>24</v>
      </c>
      <c r="G77" s="2" t="s">
        <v>191</v>
      </c>
      <c r="H77" s="2" t="s">
        <v>26</v>
      </c>
      <c r="I77" s="2"/>
      <c r="J77" s="2">
        <v>1317246</v>
      </c>
      <c r="K77" s="2">
        <v>4402</v>
      </c>
      <c r="L77" s="2" t="s">
        <v>27</v>
      </c>
      <c r="M77" s="2" t="s">
        <v>28</v>
      </c>
      <c r="N77" s="2">
        <v>8433</v>
      </c>
    </row>
    <row r="78" spans="1:14">
      <c r="A78" s="6" t="s">
        <v>192</v>
      </c>
      <c r="B78" s="6" t="s">
        <v>193</v>
      </c>
      <c r="C78" s="6"/>
      <c r="D78" s="6">
        <v>3602</v>
      </c>
      <c r="E78" s="6" t="s">
        <v>23</v>
      </c>
      <c r="F78" s="2" t="s">
        <v>24</v>
      </c>
      <c r="G78" s="2" t="s">
        <v>194</v>
      </c>
      <c r="H78" s="2" t="s">
        <v>26</v>
      </c>
      <c r="I78" s="2"/>
      <c r="J78" s="2">
        <v>1318474</v>
      </c>
      <c r="K78" s="2">
        <v>4402</v>
      </c>
      <c r="L78" s="2" t="s">
        <v>27</v>
      </c>
      <c r="M78" s="2" t="s">
        <v>28</v>
      </c>
      <c r="N78" s="2">
        <v>43</v>
      </c>
    </row>
    <row r="79" spans="1:14">
      <c r="A79" s="6" t="s">
        <v>195</v>
      </c>
      <c r="B79" s="6" t="s">
        <v>196</v>
      </c>
      <c r="C79" s="6"/>
      <c r="D79" s="6">
        <v>3602</v>
      </c>
      <c r="E79" s="6" t="s">
        <v>23</v>
      </c>
      <c r="F79" s="2" t="s">
        <v>24</v>
      </c>
      <c r="G79" s="2" t="s">
        <v>197</v>
      </c>
      <c r="H79" s="2" t="s">
        <v>26</v>
      </c>
      <c r="I79" s="2"/>
      <c r="J79" s="2">
        <v>1319403</v>
      </c>
      <c r="K79" s="2">
        <v>4402</v>
      </c>
      <c r="L79" s="2" t="s">
        <v>27</v>
      </c>
      <c r="M79" s="2" t="s">
        <v>28</v>
      </c>
      <c r="N79" s="2">
        <v>12328</v>
      </c>
    </row>
    <row r="80" spans="1:14">
      <c r="A80" s="6" t="s">
        <v>198</v>
      </c>
      <c r="B80" s="6" t="s">
        <v>199</v>
      </c>
      <c r="C80" s="6"/>
      <c r="D80" s="6">
        <v>3602</v>
      </c>
      <c r="E80" s="6" t="s">
        <v>23</v>
      </c>
      <c r="F80" s="2" t="s">
        <v>24</v>
      </c>
      <c r="G80" s="2" t="s">
        <v>200</v>
      </c>
      <c r="H80" s="2" t="s">
        <v>26</v>
      </c>
      <c r="I80" s="2"/>
      <c r="J80" s="2">
        <v>1319021</v>
      </c>
      <c r="K80" s="2">
        <v>4402</v>
      </c>
      <c r="L80" s="2" t="s">
        <v>27</v>
      </c>
      <c r="M80" s="2" t="s">
        <v>28</v>
      </c>
      <c r="N80" s="2">
        <v>12329</v>
      </c>
    </row>
    <row r="81" spans="1:14">
      <c r="A81" s="6" t="s">
        <v>201</v>
      </c>
      <c r="B81" s="6" t="s">
        <v>202</v>
      </c>
      <c r="C81" s="6"/>
      <c r="D81" s="6">
        <v>3602</v>
      </c>
      <c r="E81" s="6" t="s">
        <v>23</v>
      </c>
      <c r="F81" s="2" t="s">
        <v>24</v>
      </c>
      <c r="G81" s="2" t="s">
        <v>203</v>
      </c>
      <c r="H81" s="2" t="s">
        <v>26</v>
      </c>
      <c r="I81" s="2"/>
      <c r="J81" s="2">
        <v>1316776</v>
      </c>
      <c r="K81" s="2">
        <v>4402</v>
      </c>
      <c r="L81" s="2" t="s">
        <v>27</v>
      </c>
      <c r="M81" s="2" t="s">
        <v>28</v>
      </c>
      <c r="N81" s="2">
        <v>1143</v>
      </c>
    </row>
    <row r="82" spans="1:14">
      <c r="A82" s="6" t="s">
        <v>65</v>
      </c>
      <c r="B82" s="6" t="s">
        <v>66</v>
      </c>
      <c r="C82" s="6"/>
      <c r="D82" s="6">
        <v>3602</v>
      </c>
      <c r="E82" s="6" t="s">
        <v>23</v>
      </c>
      <c r="F82" s="2" t="s">
        <v>24</v>
      </c>
      <c r="G82" s="2" t="s">
        <v>204</v>
      </c>
      <c r="H82" s="2" t="s">
        <v>26</v>
      </c>
      <c r="I82" s="2"/>
      <c r="J82" s="2">
        <v>1319310</v>
      </c>
      <c r="K82" s="2">
        <v>4402</v>
      </c>
      <c r="L82" s="2" t="s">
        <v>27</v>
      </c>
      <c r="M82" s="2" t="s">
        <v>28</v>
      </c>
      <c r="N82" s="2">
        <v>1253</v>
      </c>
    </row>
    <row r="83" spans="1:14">
      <c r="A83" s="6" t="s">
        <v>205</v>
      </c>
      <c r="B83" s="6" t="s">
        <v>206</v>
      </c>
      <c r="C83" s="6"/>
      <c r="D83" s="6">
        <v>3602</v>
      </c>
      <c r="E83" s="6" t="s">
        <v>23</v>
      </c>
      <c r="F83" s="2" t="s">
        <v>24</v>
      </c>
      <c r="G83" s="2" t="s">
        <v>207</v>
      </c>
      <c r="H83" s="2" t="s">
        <v>26</v>
      </c>
      <c r="I83" s="2"/>
      <c r="J83" s="2">
        <v>1317416</v>
      </c>
      <c r="K83" s="2">
        <v>4402</v>
      </c>
      <c r="L83" s="2" t="s">
        <v>27</v>
      </c>
      <c r="M83" s="2" t="s">
        <v>28</v>
      </c>
      <c r="N83" s="2">
        <v>12330</v>
      </c>
    </row>
    <row r="84" spans="1:14">
      <c r="A84" s="6" t="s">
        <v>208</v>
      </c>
      <c r="B84" s="6" t="s">
        <v>209</v>
      </c>
      <c r="C84" s="6"/>
      <c r="D84" s="6">
        <v>3602</v>
      </c>
      <c r="E84" s="6" t="s">
        <v>23</v>
      </c>
      <c r="F84" s="2" t="s">
        <v>24</v>
      </c>
      <c r="G84" s="2" t="s">
        <v>210</v>
      </c>
      <c r="H84" s="2" t="s">
        <v>26</v>
      </c>
      <c r="I84" s="2"/>
      <c r="J84" s="2">
        <v>1317744</v>
      </c>
      <c r="K84" s="2">
        <v>4402</v>
      </c>
      <c r="L84" s="2" t="s">
        <v>27</v>
      </c>
      <c r="M84" s="2" t="s">
        <v>28</v>
      </c>
      <c r="N84" s="2">
        <v>12331</v>
      </c>
    </row>
    <row r="85" spans="1:14">
      <c r="A85" s="6" t="s">
        <v>211</v>
      </c>
      <c r="B85" s="6" t="s">
        <v>212</v>
      </c>
      <c r="C85" s="6"/>
      <c r="D85" s="6">
        <v>3602</v>
      </c>
      <c r="E85" s="6" t="s">
        <v>23</v>
      </c>
      <c r="F85" s="2" t="s">
        <v>24</v>
      </c>
      <c r="G85" s="2" t="s">
        <v>213</v>
      </c>
      <c r="H85" s="2" t="s">
        <v>26</v>
      </c>
      <c r="I85" s="2"/>
      <c r="J85" s="2">
        <v>1317073</v>
      </c>
      <c r="K85" s="2">
        <v>4402</v>
      </c>
      <c r="L85" s="2" t="s">
        <v>27</v>
      </c>
      <c r="M85" s="2" t="s">
        <v>28</v>
      </c>
      <c r="N85" s="2">
        <v>12332</v>
      </c>
    </row>
    <row r="86" spans="1:14">
      <c r="A86" s="6" t="s">
        <v>214</v>
      </c>
      <c r="B86" s="6" t="s">
        <v>215</v>
      </c>
      <c r="C86" s="6"/>
      <c r="D86" s="6">
        <v>3602</v>
      </c>
      <c r="E86" s="6" t="s">
        <v>23</v>
      </c>
      <c r="F86" s="2" t="s">
        <v>24</v>
      </c>
      <c r="G86" s="2" t="s">
        <v>216</v>
      </c>
      <c r="H86" s="2" t="s">
        <v>26</v>
      </c>
      <c r="I86" s="2"/>
      <c r="J86" s="2">
        <v>1316882</v>
      </c>
      <c r="K86" s="2">
        <v>4402</v>
      </c>
      <c r="L86" s="2" t="s">
        <v>27</v>
      </c>
      <c r="M86" s="2" t="s">
        <v>28</v>
      </c>
      <c r="N86" s="2">
        <v>12333</v>
      </c>
    </row>
    <row r="87" spans="1:14">
      <c r="A87" s="6" t="s">
        <v>217</v>
      </c>
      <c r="B87" s="6" t="s">
        <v>218</v>
      </c>
      <c r="C87" s="6"/>
      <c r="D87" s="6">
        <v>3602</v>
      </c>
      <c r="E87" s="6" t="s">
        <v>23</v>
      </c>
      <c r="F87" s="2" t="s">
        <v>24</v>
      </c>
      <c r="G87" s="2" t="s">
        <v>219</v>
      </c>
      <c r="H87" s="2" t="s">
        <v>26</v>
      </c>
      <c r="I87" s="2"/>
      <c r="J87" s="2">
        <v>1317034</v>
      </c>
      <c r="K87" s="2">
        <v>4402</v>
      </c>
      <c r="L87" s="2" t="s">
        <v>27</v>
      </c>
      <c r="M87" s="2" t="s">
        <v>28</v>
      </c>
      <c r="N87" s="2">
        <v>12334</v>
      </c>
    </row>
    <row r="88" spans="1:14">
      <c r="A88" s="6" t="s">
        <v>220</v>
      </c>
      <c r="B88" s="6" t="s">
        <v>221</v>
      </c>
      <c r="C88" s="6"/>
      <c r="D88" s="6">
        <v>3602</v>
      </c>
      <c r="E88" s="6" t="s">
        <v>23</v>
      </c>
      <c r="F88" s="2" t="s">
        <v>24</v>
      </c>
      <c r="G88" s="2" t="s">
        <v>222</v>
      </c>
      <c r="H88" s="2" t="s">
        <v>26</v>
      </c>
      <c r="I88" s="2"/>
      <c r="J88" s="2">
        <v>1316771</v>
      </c>
      <c r="K88" s="2">
        <v>4402</v>
      </c>
      <c r="L88" s="2" t="s">
        <v>27</v>
      </c>
      <c r="M88" s="2" t="s">
        <v>28</v>
      </c>
      <c r="N88" s="2">
        <v>12335</v>
      </c>
    </row>
    <row r="89" spans="1:14">
      <c r="A89" s="6" t="s">
        <v>223</v>
      </c>
      <c r="B89" s="6" t="s">
        <v>224</v>
      </c>
      <c r="C89" s="6"/>
      <c r="D89" s="6">
        <v>3602</v>
      </c>
      <c r="E89" s="6" t="s">
        <v>23</v>
      </c>
      <c r="F89" s="2" t="s">
        <v>24</v>
      </c>
      <c r="G89" s="2" t="s">
        <v>225</v>
      </c>
      <c r="H89" s="2" t="s">
        <v>26</v>
      </c>
      <c r="I89" s="2"/>
      <c r="J89" s="2">
        <v>1317044</v>
      </c>
      <c r="K89" s="2">
        <v>4402</v>
      </c>
      <c r="L89" s="2" t="s">
        <v>27</v>
      </c>
      <c r="M89" s="2" t="s">
        <v>28</v>
      </c>
      <c r="N89" s="2">
        <v>12337</v>
      </c>
    </row>
    <row r="90" spans="1:14">
      <c r="A90" s="6" t="s">
        <v>226</v>
      </c>
      <c r="B90" s="6" t="s">
        <v>227</v>
      </c>
      <c r="C90" s="6"/>
      <c r="D90" s="6">
        <v>3602</v>
      </c>
      <c r="E90" s="6" t="s">
        <v>23</v>
      </c>
      <c r="F90" s="2" t="s">
        <v>24</v>
      </c>
      <c r="G90" s="2" t="s">
        <v>228</v>
      </c>
      <c r="H90" s="2" t="s">
        <v>26</v>
      </c>
      <c r="I90" s="2"/>
      <c r="J90" s="2">
        <v>1316872</v>
      </c>
      <c r="K90" s="2">
        <v>4402</v>
      </c>
      <c r="L90" s="2" t="s">
        <v>27</v>
      </c>
      <c r="M90" s="2" t="s">
        <v>28</v>
      </c>
      <c r="N90" s="2">
        <v>12338</v>
      </c>
    </row>
    <row r="91" spans="1:14">
      <c r="A91" s="6" t="s">
        <v>229</v>
      </c>
      <c r="B91" s="6" t="s">
        <v>230</v>
      </c>
      <c r="C91" s="6"/>
      <c r="D91" s="6">
        <v>3602</v>
      </c>
      <c r="E91" s="6" t="s">
        <v>23</v>
      </c>
      <c r="F91" s="2" t="s">
        <v>24</v>
      </c>
      <c r="G91" s="2" t="s">
        <v>231</v>
      </c>
      <c r="H91" s="2" t="s">
        <v>26</v>
      </c>
      <c r="I91" s="2"/>
      <c r="J91" s="2">
        <v>1316944</v>
      </c>
      <c r="K91" s="2">
        <v>4402</v>
      </c>
      <c r="L91" s="2" t="s">
        <v>27</v>
      </c>
      <c r="M91" s="2" t="s">
        <v>28</v>
      </c>
      <c r="N91" s="2">
        <v>2629</v>
      </c>
    </row>
    <row r="92" spans="1:14">
      <c r="A92" s="6" t="s">
        <v>232</v>
      </c>
      <c r="B92" s="6" t="s">
        <v>233</v>
      </c>
      <c r="C92" s="6"/>
      <c r="D92" s="6">
        <v>3602</v>
      </c>
      <c r="E92" s="6" t="s">
        <v>23</v>
      </c>
      <c r="F92" s="2" t="s">
        <v>24</v>
      </c>
      <c r="G92" s="2" t="s">
        <v>234</v>
      </c>
      <c r="H92" s="2" t="s">
        <v>26</v>
      </c>
      <c r="I92" s="2"/>
      <c r="J92" s="2">
        <v>1316885</v>
      </c>
      <c r="K92" s="2">
        <v>4402</v>
      </c>
      <c r="L92" s="2" t="s">
        <v>27</v>
      </c>
      <c r="M92" s="2" t="s">
        <v>28</v>
      </c>
      <c r="N92" s="2">
        <v>12382</v>
      </c>
    </row>
    <row r="93" spans="1:14">
      <c r="A93" s="6" t="s">
        <v>235</v>
      </c>
      <c r="B93" s="6" t="s">
        <v>236</v>
      </c>
      <c r="C93" s="6"/>
      <c r="D93" s="6">
        <v>3602</v>
      </c>
      <c r="E93" s="6" t="s">
        <v>23</v>
      </c>
      <c r="F93" s="2" t="s">
        <v>24</v>
      </c>
      <c r="G93" s="2" t="s">
        <v>237</v>
      </c>
      <c r="H93" s="2" t="s">
        <v>26</v>
      </c>
      <c r="I93" s="2"/>
      <c r="J93" s="2">
        <v>1316986</v>
      </c>
      <c r="K93" s="2">
        <v>4402</v>
      </c>
      <c r="L93" s="2" t="s">
        <v>27</v>
      </c>
      <c r="M93" s="2" t="s">
        <v>28</v>
      </c>
      <c r="N93" s="2">
        <v>12339</v>
      </c>
    </row>
    <row r="94" spans="1:14">
      <c r="A94" s="6" t="s">
        <v>238</v>
      </c>
      <c r="B94" s="6" t="s">
        <v>239</v>
      </c>
      <c r="C94" s="6"/>
      <c r="D94" s="6">
        <v>3602</v>
      </c>
      <c r="E94" s="6" t="s">
        <v>23</v>
      </c>
      <c r="F94" s="2" t="s">
        <v>24</v>
      </c>
      <c r="G94" s="2" t="s">
        <v>240</v>
      </c>
      <c r="H94" s="2" t="s">
        <v>26</v>
      </c>
      <c r="I94" s="2"/>
      <c r="J94" s="2">
        <v>1317327</v>
      </c>
      <c r="K94" s="2">
        <v>4402</v>
      </c>
      <c r="L94" s="2" t="s">
        <v>27</v>
      </c>
      <c r="M94" s="2" t="s">
        <v>28</v>
      </c>
      <c r="N94" s="2">
        <v>12341</v>
      </c>
    </row>
    <row r="95" spans="1:14">
      <c r="A95" s="6" t="s">
        <v>241</v>
      </c>
      <c r="B95" s="6" t="s">
        <v>242</v>
      </c>
      <c r="C95" s="6"/>
      <c r="D95" s="6">
        <v>3602</v>
      </c>
      <c r="E95" s="6" t="s">
        <v>23</v>
      </c>
      <c r="F95" s="2" t="s">
        <v>24</v>
      </c>
      <c r="G95" s="2" t="s">
        <v>243</v>
      </c>
      <c r="H95" s="2" t="s">
        <v>26</v>
      </c>
      <c r="I95" s="2"/>
      <c r="J95" s="2">
        <v>1316870</v>
      </c>
      <c r="K95" s="2">
        <v>4402</v>
      </c>
      <c r="L95" s="2" t="s">
        <v>27</v>
      </c>
      <c r="M95" s="2" t="s">
        <v>28</v>
      </c>
      <c r="N95" s="2">
        <v>12345</v>
      </c>
    </row>
    <row r="96" spans="1:14">
      <c r="A96" s="6" t="s">
        <v>244</v>
      </c>
      <c r="B96" s="6" t="s">
        <v>245</v>
      </c>
      <c r="C96" s="6"/>
      <c r="D96" s="6">
        <v>3602</v>
      </c>
      <c r="E96" s="6" t="s">
        <v>23</v>
      </c>
      <c r="F96" s="2" t="s">
        <v>24</v>
      </c>
      <c r="G96" s="2" t="s">
        <v>246</v>
      </c>
      <c r="H96" s="2" t="s">
        <v>26</v>
      </c>
      <c r="I96" s="2"/>
      <c r="J96" s="2">
        <v>1317091</v>
      </c>
      <c r="K96" s="2">
        <v>4402</v>
      </c>
      <c r="L96" s="2" t="s">
        <v>27</v>
      </c>
      <c r="M96" s="2" t="s">
        <v>28</v>
      </c>
      <c r="N96" s="2">
        <v>12346</v>
      </c>
    </row>
    <row r="97" spans="1:14">
      <c r="A97" s="6" t="s">
        <v>247</v>
      </c>
      <c r="B97" s="6" t="s">
        <v>248</v>
      </c>
      <c r="C97" s="6"/>
      <c r="D97" s="6">
        <v>3602</v>
      </c>
      <c r="E97" s="6" t="s">
        <v>23</v>
      </c>
      <c r="F97" s="2" t="s">
        <v>24</v>
      </c>
      <c r="G97" s="2" t="s">
        <v>249</v>
      </c>
      <c r="H97" s="2" t="s">
        <v>26</v>
      </c>
      <c r="I97" s="2"/>
      <c r="J97" s="2">
        <v>1317547</v>
      </c>
      <c r="K97" s="2">
        <v>4402</v>
      </c>
      <c r="L97" s="2" t="s">
        <v>27</v>
      </c>
      <c r="M97" s="2" t="s">
        <v>28</v>
      </c>
      <c r="N97" s="2">
        <v>1633</v>
      </c>
    </row>
    <row r="98" spans="1:14">
      <c r="A98" s="6" t="s">
        <v>250</v>
      </c>
      <c r="B98" s="6" t="s">
        <v>251</v>
      </c>
      <c r="C98" s="6"/>
      <c r="D98" s="6">
        <v>3602</v>
      </c>
      <c r="E98" s="6" t="s">
        <v>23</v>
      </c>
      <c r="F98" s="2" t="s">
        <v>24</v>
      </c>
      <c r="G98" s="2" t="s">
        <v>252</v>
      </c>
      <c r="H98" s="2" t="s">
        <v>26</v>
      </c>
      <c r="I98" s="2"/>
      <c r="J98" s="2">
        <v>1316897</v>
      </c>
      <c r="K98" s="2">
        <v>4402</v>
      </c>
      <c r="L98" s="2" t="s">
        <v>27</v>
      </c>
      <c r="M98" s="2" t="s">
        <v>28</v>
      </c>
      <c r="N98" s="2">
        <v>12347</v>
      </c>
    </row>
    <row r="99" spans="1:14">
      <c r="A99" s="6" t="s">
        <v>253</v>
      </c>
      <c r="B99" s="6" t="s">
        <v>254</v>
      </c>
      <c r="C99" s="6"/>
      <c r="D99" s="6">
        <v>3602</v>
      </c>
      <c r="E99" s="6" t="s">
        <v>23</v>
      </c>
      <c r="F99" s="2" t="s">
        <v>24</v>
      </c>
      <c r="G99" s="2" t="s">
        <v>255</v>
      </c>
      <c r="H99" s="2" t="s">
        <v>26</v>
      </c>
      <c r="I99" s="2"/>
      <c r="J99" s="2">
        <v>1316789</v>
      </c>
      <c r="K99" s="2">
        <v>4402</v>
      </c>
      <c r="L99" s="2" t="s">
        <v>27</v>
      </c>
      <c r="M99" s="2" t="s">
        <v>28</v>
      </c>
      <c r="N99" s="2">
        <v>12348</v>
      </c>
    </row>
    <row r="100" spans="1:14">
      <c r="A100" s="6" t="s">
        <v>256</v>
      </c>
      <c r="B100" s="6" t="s">
        <v>257</v>
      </c>
      <c r="C100" s="6"/>
      <c r="D100" s="6">
        <v>3602</v>
      </c>
      <c r="E100" s="6" t="s">
        <v>23</v>
      </c>
      <c r="F100" s="2" t="s">
        <v>24</v>
      </c>
      <c r="G100" s="2" t="s">
        <v>258</v>
      </c>
      <c r="H100" s="2" t="s">
        <v>26</v>
      </c>
      <c r="I100" s="2"/>
      <c r="J100" s="2">
        <v>1317189</v>
      </c>
      <c r="K100" s="2">
        <v>4402</v>
      </c>
      <c r="L100" s="2" t="s">
        <v>27</v>
      </c>
      <c r="M100" s="2" t="s">
        <v>28</v>
      </c>
      <c r="N100" s="2">
        <v>12349</v>
      </c>
    </row>
    <row r="101" spans="1:14">
      <c r="A101" s="6" t="s">
        <v>259</v>
      </c>
      <c r="B101" s="6" t="s">
        <v>260</v>
      </c>
      <c r="C101" s="6"/>
      <c r="D101" s="6">
        <v>3602</v>
      </c>
      <c r="E101" s="6" t="s">
        <v>23</v>
      </c>
      <c r="F101" s="2" t="s">
        <v>24</v>
      </c>
      <c r="G101" s="2" t="s">
        <v>261</v>
      </c>
      <c r="H101" s="2" t="s">
        <v>26</v>
      </c>
      <c r="I101" s="2"/>
      <c r="J101" s="2">
        <v>1317142</v>
      </c>
      <c r="K101" s="2">
        <v>4402</v>
      </c>
      <c r="L101" s="2" t="s">
        <v>27</v>
      </c>
      <c r="M101" s="2" t="s">
        <v>28</v>
      </c>
      <c r="N101" s="2">
        <v>12350</v>
      </c>
    </row>
    <row r="102" spans="1:14">
      <c r="A102" s="6" t="s">
        <v>262</v>
      </c>
      <c r="B102" s="6" t="s">
        <v>263</v>
      </c>
      <c r="C102" s="6"/>
      <c r="D102" s="6">
        <v>3602</v>
      </c>
      <c r="E102" s="6" t="s">
        <v>23</v>
      </c>
      <c r="F102" s="2" t="s">
        <v>24</v>
      </c>
      <c r="G102" s="2" t="s">
        <v>264</v>
      </c>
      <c r="H102" s="2" t="s">
        <v>26</v>
      </c>
      <c r="I102" s="2"/>
      <c r="J102" s="2">
        <v>1319625</v>
      </c>
      <c r="K102" s="2">
        <v>4402</v>
      </c>
      <c r="L102" s="2" t="s">
        <v>27</v>
      </c>
      <c r="M102" s="2" t="s">
        <v>28</v>
      </c>
      <c r="N102" s="2">
        <v>12351</v>
      </c>
    </row>
    <row r="103" spans="1:14">
      <c r="A103" s="6" t="s">
        <v>265</v>
      </c>
      <c r="B103" s="6" t="s">
        <v>266</v>
      </c>
      <c r="C103" s="6"/>
      <c r="D103" s="6">
        <v>3602</v>
      </c>
      <c r="E103" s="6" t="s">
        <v>23</v>
      </c>
      <c r="F103" s="2" t="s">
        <v>24</v>
      </c>
      <c r="G103" s="2" t="s">
        <v>267</v>
      </c>
      <c r="H103" s="2" t="s">
        <v>26</v>
      </c>
      <c r="I103" s="2"/>
      <c r="J103" s="2">
        <v>1317058</v>
      </c>
      <c r="K103" s="2">
        <v>4402</v>
      </c>
      <c r="L103" s="2" t="s">
        <v>27</v>
      </c>
      <c r="M103" s="2" t="s">
        <v>28</v>
      </c>
      <c r="N103" s="2">
        <v>12352</v>
      </c>
    </row>
    <row r="104" spans="1:14">
      <c r="A104" s="6" t="s">
        <v>268</v>
      </c>
      <c r="B104" s="6" t="s">
        <v>269</v>
      </c>
      <c r="C104" s="6"/>
      <c r="D104" s="6">
        <v>3602</v>
      </c>
      <c r="E104" s="6" t="s">
        <v>23</v>
      </c>
      <c r="F104" s="2" t="s">
        <v>24</v>
      </c>
      <c r="G104" s="2" t="s">
        <v>270</v>
      </c>
      <c r="H104" s="2" t="s">
        <v>26</v>
      </c>
      <c r="I104" s="2"/>
      <c r="J104" s="2">
        <v>1319588</v>
      </c>
      <c r="K104" s="2">
        <v>4402</v>
      </c>
      <c r="L104" s="2" t="s">
        <v>27</v>
      </c>
      <c r="M104" s="2" t="s">
        <v>28</v>
      </c>
      <c r="N104" s="2">
        <v>12353</v>
      </c>
    </row>
    <row r="105" spans="1:14">
      <c r="A105" s="7" t="s">
        <v>98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>
        <f>ROWS(A60:N104)</f>
        <v>45</v>
      </c>
    </row>
    <row r="106" spans="1:14">
      <c r="A106" s="7" t="s">
        <v>98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f>ROWS(A60:N104)</f>
        <v>45</v>
      </c>
    </row>
    <row r="107" spans="1:14" customHeight="1" ht="20">
      <c r="A107" s="4" t="s">
        <v>271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customHeight="1" ht="20">
      <c r="A108" s="4" t="s">
        <v>272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13</v>
      </c>
      <c r="H109" s="5" t="s">
        <v>14</v>
      </c>
      <c r="I109" s="5" t="s">
        <v>15</v>
      </c>
      <c r="J109" s="5" t="s">
        <v>16</v>
      </c>
      <c r="K109" s="5" t="s">
        <v>17</v>
      </c>
      <c r="L109" s="5" t="s">
        <v>18</v>
      </c>
      <c r="M109" s="5" t="s">
        <v>19</v>
      </c>
      <c r="N109" s="5" t="s">
        <v>20</v>
      </c>
    </row>
    <row r="110" spans="1:14">
      <c r="A110" s="6" t="s">
        <v>273</v>
      </c>
      <c r="B110" s="6" t="s">
        <v>274</v>
      </c>
      <c r="C110" s="6"/>
      <c r="D110" s="6">
        <v>3516</v>
      </c>
      <c r="E110" s="6" t="s">
        <v>23</v>
      </c>
      <c r="F110" s="2" t="s">
        <v>24</v>
      </c>
      <c r="G110" s="2" t="s">
        <v>275</v>
      </c>
      <c r="H110" s="2" t="s">
        <v>26</v>
      </c>
      <c r="I110" s="2"/>
      <c r="J110" s="2">
        <v>1317605</v>
      </c>
      <c r="K110" s="2">
        <v>4416</v>
      </c>
      <c r="L110" s="2" t="s">
        <v>27</v>
      </c>
      <c r="M110" s="2" t="s">
        <v>28</v>
      </c>
      <c r="N110" s="2">
        <v>2666</v>
      </c>
    </row>
    <row r="111" spans="1:14">
      <c r="A111" s="6" t="s">
        <v>276</v>
      </c>
      <c r="B111" s="6" t="s">
        <v>277</v>
      </c>
      <c r="C111" s="6"/>
      <c r="D111" s="6">
        <v>3516</v>
      </c>
      <c r="E111" s="6" t="s">
        <v>23</v>
      </c>
      <c r="F111" s="2" t="s">
        <v>24</v>
      </c>
      <c r="G111" s="2" t="s">
        <v>278</v>
      </c>
      <c r="H111" s="2" t="s">
        <v>26</v>
      </c>
      <c r="I111" s="2"/>
      <c r="J111" s="2">
        <v>1317576</v>
      </c>
      <c r="K111" s="2">
        <v>4416</v>
      </c>
      <c r="L111" s="2" t="s">
        <v>27</v>
      </c>
      <c r="M111" s="2" t="s">
        <v>28</v>
      </c>
      <c r="N111" s="2">
        <v>10427</v>
      </c>
    </row>
    <row r="112" spans="1:14">
      <c r="A112" s="6" t="s">
        <v>279</v>
      </c>
      <c r="B112" s="6" t="s">
        <v>280</v>
      </c>
      <c r="C112" s="6"/>
      <c r="D112" s="6">
        <v>3516</v>
      </c>
      <c r="E112" s="6" t="s">
        <v>23</v>
      </c>
      <c r="F112" s="2" t="s">
        <v>24</v>
      </c>
      <c r="G112" s="2" t="s">
        <v>281</v>
      </c>
      <c r="H112" s="2" t="s">
        <v>26</v>
      </c>
      <c r="I112" s="2"/>
      <c r="J112" s="2">
        <v>1318634</v>
      </c>
      <c r="K112" s="2">
        <v>4416</v>
      </c>
      <c r="L112" s="2" t="s">
        <v>27</v>
      </c>
      <c r="M112" s="2" t="s">
        <v>28</v>
      </c>
      <c r="N112" s="2">
        <v>10428</v>
      </c>
    </row>
    <row r="113" spans="1:14">
      <c r="A113" s="6" t="s">
        <v>282</v>
      </c>
      <c r="B113" s="6" t="s">
        <v>283</v>
      </c>
      <c r="C113" s="6"/>
      <c r="D113" s="6">
        <v>3516</v>
      </c>
      <c r="E113" s="6" t="s">
        <v>23</v>
      </c>
      <c r="F113" s="2" t="s">
        <v>24</v>
      </c>
      <c r="G113" s="2" t="s">
        <v>284</v>
      </c>
      <c r="H113" s="2" t="s">
        <v>26</v>
      </c>
      <c r="I113" s="2"/>
      <c r="J113" s="2">
        <v>1323104</v>
      </c>
      <c r="K113" s="2">
        <v>4416</v>
      </c>
      <c r="L113" s="2" t="s">
        <v>27</v>
      </c>
      <c r="M113" s="2" t="s">
        <v>28</v>
      </c>
      <c r="N113" s="2">
        <v>10499</v>
      </c>
    </row>
    <row r="114" spans="1:14">
      <c r="A114" s="6" t="s">
        <v>285</v>
      </c>
      <c r="B114" s="6" t="s">
        <v>286</v>
      </c>
      <c r="C114" s="6"/>
      <c r="D114" s="6">
        <v>3516</v>
      </c>
      <c r="E114" s="6" t="s">
        <v>23</v>
      </c>
      <c r="F114" s="2" t="s">
        <v>24</v>
      </c>
      <c r="G114" s="2" t="s">
        <v>287</v>
      </c>
      <c r="H114" s="2" t="s">
        <v>26</v>
      </c>
      <c r="I114" s="2"/>
      <c r="J114" s="2">
        <v>1318960</v>
      </c>
      <c r="K114" s="2">
        <v>4416</v>
      </c>
      <c r="L114" s="2" t="s">
        <v>27</v>
      </c>
      <c r="M114" s="2" t="s">
        <v>28</v>
      </c>
      <c r="N114" s="2">
        <v>10429</v>
      </c>
    </row>
    <row r="115" spans="1:14">
      <c r="A115" s="6" t="s">
        <v>288</v>
      </c>
      <c r="B115" s="6" t="s">
        <v>289</v>
      </c>
      <c r="C115" s="6"/>
      <c r="D115" s="6">
        <v>3516</v>
      </c>
      <c r="E115" s="6" t="s">
        <v>23</v>
      </c>
      <c r="F115" s="2" t="s">
        <v>24</v>
      </c>
      <c r="G115" s="2" t="s">
        <v>290</v>
      </c>
      <c r="H115" s="2" t="s">
        <v>26</v>
      </c>
      <c r="I115" s="2"/>
      <c r="J115" s="2">
        <v>1322204</v>
      </c>
      <c r="K115" s="2">
        <v>4416</v>
      </c>
      <c r="L115" s="2" t="s">
        <v>27</v>
      </c>
      <c r="M115" s="2" t="s">
        <v>28</v>
      </c>
      <c r="N115" s="2">
        <v>10430</v>
      </c>
    </row>
    <row r="116" spans="1:14">
      <c r="A116" s="6" t="s">
        <v>291</v>
      </c>
      <c r="B116" s="6" t="s">
        <v>292</v>
      </c>
      <c r="C116" s="6"/>
      <c r="D116" s="6">
        <v>3516</v>
      </c>
      <c r="E116" s="6" t="s">
        <v>23</v>
      </c>
      <c r="F116" s="2" t="s">
        <v>24</v>
      </c>
      <c r="G116" s="2" t="s">
        <v>293</v>
      </c>
      <c r="H116" s="2" t="s">
        <v>26</v>
      </c>
      <c r="I116" s="2"/>
      <c r="J116" s="2">
        <v>1318214</v>
      </c>
      <c r="K116" s="2">
        <v>4416</v>
      </c>
      <c r="L116" s="2" t="s">
        <v>27</v>
      </c>
      <c r="M116" s="2" t="s">
        <v>28</v>
      </c>
      <c r="N116" s="2">
        <v>10431</v>
      </c>
    </row>
    <row r="117" spans="1:14">
      <c r="A117" s="6" t="s">
        <v>294</v>
      </c>
      <c r="B117" s="6" t="s">
        <v>295</v>
      </c>
      <c r="C117" s="6"/>
      <c r="D117" s="6">
        <v>3516</v>
      </c>
      <c r="E117" s="6" t="s">
        <v>23</v>
      </c>
      <c r="F117" s="2" t="s">
        <v>24</v>
      </c>
      <c r="G117" s="2" t="s">
        <v>296</v>
      </c>
      <c r="H117" s="2" t="s">
        <v>26</v>
      </c>
      <c r="I117" s="2"/>
      <c r="J117" s="2">
        <v>1318910</v>
      </c>
      <c r="K117" s="2">
        <v>4416</v>
      </c>
      <c r="L117" s="2" t="s">
        <v>27</v>
      </c>
      <c r="M117" s="2" t="s">
        <v>28</v>
      </c>
      <c r="N117" s="2">
        <v>10432</v>
      </c>
    </row>
    <row r="118" spans="1:14">
      <c r="A118" s="6" t="s">
        <v>297</v>
      </c>
      <c r="B118" s="6" t="s">
        <v>298</v>
      </c>
      <c r="C118" s="6"/>
      <c r="D118" s="6">
        <v>3516</v>
      </c>
      <c r="E118" s="6" t="s">
        <v>23</v>
      </c>
      <c r="F118" s="2" t="s">
        <v>24</v>
      </c>
      <c r="G118" s="2" t="s">
        <v>299</v>
      </c>
      <c r="H118" s="2" t="s">
        <v>26</v>
      </c>
      <c r="I118" s="2"/>
      <c r="J118" s="2">
        <v>1317716</v>
      </c>
      <c r="K118" s="2">
        <v>4416</v>
      </c>
      <c r="L118" s="2" t="s">
        <v>27</v>
      </c>
      <c r="M118" s="2" t="s">
        <v>28</v>
      </c>
      <c r="N118" s="2">
        <v>10434</v>
      </c>
    </row>
    <row r="119" spans="1:14">
      <c r="A119" s="6" t="s">
        <v>300</v>
      </c>
      <c r="B119" s="6" t="s">
        <v>301</v>
      </c>
      <c r="C119" s="6"/>
      <c r="D119" s="6">
        <v>3516</v>
      </c>
      <c r="E119" s="6" t="s">
        <v>23</v>
      </c>
      <c r="F119" s="2" t="s">
        <v>24</v>
      </c>
      <c r="G119" s="2" t="s">
        <v>302</v>
      </c>
      <c r="H119" s="2" t="s">
        <v>26</v>
      </c>
      <c r="I119" s="2"/>
      <c r="J119" s="2">
        <v>1317870</v>
      </c>
      <c r="K119" s="2">
        <v>4416</v>
      </c>
      <c r="L119" s="2" t="s">
        <v>27</v>
      </c>
      <c r="M119" s="2" t="s">
        <v>28</v>
      </c>
      <c r="N119" s="2">
        <v>10435</v>
      </c>
    </row>
    <row r="120" spans="1:14">
      <c r="A120" s="6" t="s">
        <v>303</v>
      </c>
      <c r="B120" s="6" t="s">
        <v>304</v>
      </c>
      <c r="C120" s="6"/>
      <c r="D120" s="6">
        <v>3516</v>
      </c>
      <c r="E120" s="6" t="s">
        <v>23</v>
      </c>
      <c r="F120" s="2" t="s">
        <v>24</v>
      </c>
      <c r="G120" s="2" t="s">
        <v>305</v>
      </c>
      <c r="H120" s="2" t="s">
        <v>26</v>
      </c>
      <c r="I120" s="2"/>
      <c r="J120" s="2">
        <v>1318652</v>
      </c>
      <c r="K120" s="2">
        <v>4416</v>
      </c>
      <c r="L120" s="2" t="s">
        <v>27</v>
      </c>
      <c r="M120" s="2" t="s">
        <v>28</v>
      </c>
      <c r="N120" s="2">
        <v>10436</v>
      </c>
    </row>
    <row r="121" spans="1:14">
      <c r="A121" s="6" t="s">
        <v>306</v>
      </c>
      <c r="B121" s="6" t="s">
        <v>307</v>
      </c>
      <c r="C121" s="6"/>
      <c r="D121" s="6">
        <v>3516</v>
      </c>
      <c r="E121" s="6" t="s">
        <v>23</v>
      </c>
      <c r="F121" s="2" t="s">
        <v>24</v>
      </c>
      <c r="G121" s="2" t="s">
        <v>308</v>
      </c>
      <c r="H121" s="2" t="s">
        <v>26</v>
      </c>
      <c r="I121" s="2"/>
      <c r="J121" s="2">
        <v>1318165</v>
      </c>
      <c r="K121" s="2">
        <v>4416</v>
      </c>
      <c r="L121" s="2" t="s">
        <v>27</v>
      </c>
      <c r="M121" s="2" t="s">
        <v>28</v>
      </c>
      <c r="N121" s="2">
        <v>10437</v>
      </c>
    </row>
    <row r="122" spans="1:14">
      <c r="A122" s="6" t="s">
        <v>309</v>
      </c>
      <c r="B122" s="6" t="s">
        <v>310</v>
      </c>
      <c r="C122" s="6"/>
      <c r="D122" s="6">
        <v>3516</v>
      </c>
      <c r="E122" s="6" t="s">
        <v>23</v>
      </c>
      <c r="F122" s="2" t="s">
        <v>24</v>
      </c>
      <c r="G122" s="2" t="s">
        <v>311</v>
      </c>
      <c r="H122" s="2" t="s">
        <v>26</v>
      </c>
      <c r="I122" s="2"/>
      <c r="J122" s="2">
        <v>1319075</v>
      </c>
      <c r="K122" s="2">
        <v>4416</v>
      </c>
      <c r="L122" s="2" t="s">
        <v>27</v>
      </c>
      <c r="M122" s="2" t="s">
        <v>28</v>
      </c>
      <c r="N122" s="2">
        <v>10438</v>
      </c>
    </row>
    <row r="123" spans="1:14">
      <c r="A123" s="7" t="s">
        <v>98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>
        <f>ROWS(A110:N122)</f>
        <v>13</v>
      </c>
    </row>
    <row r="124" spans="1:14">
      <c r="A124" s="7" t="s">
        <v>98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>
        <f>ROWS(A110:N122)</f>
        <v>13</v>
      </c>
    </row>
    <row r="125" spans="1:14" customHeight="1" ht="20">
      <c r="A125" s="4" t="s">
        <v>312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customHeight="1" ht="20">
      <c r="A126" s="4" t="s">
        <v>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13</v>
      </c>
      <c r="H127" s="5" t="s">
        <v>14</v>
      </c>
      <c r="I127" s="5" t="s">
        <v>15</v>
      </c>
      <c r="J127" s="5" t="s">
        <v>16</v>
      </c>
      <c r="K127" s="5" t="s">
        <v>17</v>
      </c>
      <c r="L127" s="5" t="s">
        <v>18</v>
      </c>
      <c r="M127" s="5" t="s">
        <v>19</v>
      </c>
      <c r="N127" s="5" t="s">
        <v>20</v>
      </c>
    </row>
    <row r="128" spans="1:14">
      <c r="A128" s="6" t="s">
        <v>29</v>
      </c>
      <c r="B128" s="6" t="s">
        <v>30</v>
      </c>
      <c r="C128" s="6"/>
      <c r="D128" s="6">
        <v>3618</v>
      </c>
      <c r="E128" s="6" t="s">
        <v>23</v>
      </c>
      <c r="F128" s="2" t="s">
        <v>24</v>
      </c>
      <c r="G128" s="2" t="s">
        <v>313</v>
      </c>
      <c r="H128" s="2" t="s">
        <v>26</v>
      </c>
      <c r="I128" s="2"/>
      <c r="J128" s="2">
        <v>1317602</v>
      </c>
      <c r="K128" s="2">
        <v>4406</v>
      </c>
      <c r="L128" s="2" t="s">
        <v>27</v>
      </c>
      <c r="M128" s="2" t="s">
        <v>28</v>
      </c>
      <c r="N128" s="2">
        <v>10402</v>
      </c>
    </row>
    <row r="129" spans="1:14">
      <c r="A129" s="6" t="s">
        <v>32</v>
      </c>
      <c r="B129" s="6" t="s">
        <v>33</v>
      </c>
      <c r="C129" s="6"/>
      <c r="D129" s="6">
        <v>3618</v>
      </c>
      <c r="E129" s="6" t="s">
        <v>23</v>
      </c>
      <c r="F129" s="2" t="s">
        <v>24</v>
      </c>
      <c r="G129" s="2" t="s">
        <v>314</v>
      </c>
      <c r="H129" s="2" t="s">
        <v>26</v>
      </c>
      <c r="I129" s="2"/>
      <c r="J129" s="2">
        <v>1318927</v>
      </c>
      <c r="K129" s="2">
        <v>4406</v>
      </c>
      <c r="L129" s="2" t="s">
        <v>27</v>
      </c>
      <c r="M129" s="2" t="s">
        <v>28</v>
      </c>
      <c r="N129" s="2">
        <v>10403</v>
      </c>
    </row>
    <row r="130" spans="1:14">
      <c r="A130" s="6" t="s">
        <v>35</v>
      </c>
      <c r="B130" s="6" t="s">
        <v>36</v>
      </c>
      <c r="C130" s="6"/>
      <c r="D130" s="6">
        <v>3618</v>
      </c>
      <c r="E130" s="6" t="s">
        <v>23</v>
      </c>
      <c r="F130" s="2" t="s">
        <v>24</v>
      </c>
      <c r="G130" s="2" t="s">
        <v>315</v>
      </c>
      <c r="H130" s="2" t="s">
        <v>26</v>
      </c>
      <c r="I130" s="2"/>
      <c r="J130" s="2">
        <v>1317640</v>
      </c>
      <c r="K130" s="2">
        <v>4406</v>
      </c>
      <c r="L130" s="2" t="s">
        <v>27</v>
      </c>
      <c r="M130" s="2" t="s">
        <v>28</v>
      </c>
      <c r="N130" s="2">
        <v>3125</v>
      </c>
    </row>
    <row r="131" spans="1:14">
      <c r="A131" s="6" t="s">
        <v>41</v>
      </c>
      <c r="B131" s="6" t="s">
        <v>42</v>
      </c>
      <c r="C131" s="6"/>
      <c r="D131" s="6">
        <v>3618</v>
      </c>
      <c r="E131" s="6" t="s">
        <v>23</v>
      </c>
      <c r="F131" s="2" t="s">
        <v>24</v>
      </c>
      <c r="G131" s="2" t="s">
        <v>316</v>
      </c>
      <c r="H131" s="2" t="s">
        <v>26</v>
      </c>
      <c r="I131" s="2"/>
      <c r="J131" s="2">
        <v>1316832</v>
      </c>
      <c r="K131" s="2">
        <v>4406</v>
      </c>
      <c r="L131" s="2" t="s">
        <v>27</v>
      </c>
      <c r="M131" s="2" t="s">
        <v>28</v>
      </c>
      <c r="N131" s="2">
        <v>10405</v>
      </c>
    </row>
    <row r="132" spans="1:14">
      <c r="A132" s="6" t="s">
        <v>44</v>
      </c>
      <c r="B132" s="6" t="s">
        <v>45</v>
      </c>
      <c r="C132" s="6"/>
      <c r="D132" s="6">
        <v>3618</v>
      </c>
      <c r="E132" s="6" t="s">
        <v>23</v>
      </c>
      <c r="F132" s="2" t="s">
        <v>24</v>
      </c>
      <c r="G132" s="2" t="s">
        <v>317</v>
      </c>
      <c r="H132" s="2" t="s">
        <v>26</v>
      </c>
      <c r="I132" s="2"/>
      <c r="J132" s="2">
        <v>1318920</v>
      </c>
      <c r="K132" s="2">
        <v>4406</v>
      </c>
      <c r="L132" s="2" t="s">
        <v>27</v>
      </c>
      <c r="M132" s="2" t="s">
        <v>28</v>
      </c>
      <c r="N132" s="2">
        <v>10407</v>
      </c>
    </row>
    <row r="133" spans="1:14">
      <c r="A133" s="6" t="s">
        <v>47</v>
      </c>
      <c r="B133" s="6" t="s">
        <v>48</v>
      </c>
      <c r="C133" s="6"/>
      <c r="D133" s="6">
        <v>3618</v>
      </c>
      <c r="E133" s="6" t="s">
        <v>23</v>
      </c>
      <c r="F133" s="2" t="s">
        <v>24</v>
      </c>
      <c r="G133" s="2" t="s">
        <v>318</v>
      </c>
      <c r="H133" s="2" t="s">
        <v>26</v>
      </c>
      <c r="I133" s="2"/>
      <c r="J133" s="2">
        <v>1316799</v>
      </c>
      <c r="K133" s="2">
        <v>4406</v>
      </c>
      <c r="L133" s="2" t="s">
        <v>27</v>
      </c>
      <c r="M133" s="2" t="s">
        <v>28</v>
      </c>
      <c r="N133" s="2">
        <v>10410</v>
      </c>
    </row>
    <row r="134" spans="1:14">
      <c r="A134" s="6" t="s">
        <v>50</v>
      </c>
      <c r="B134" s="6" t="s">
        <v>51</v>
      </c>
      <c r="C134" s="6"/>
      <c r="D134" s="6">
        <v>3618</v>
      </c>
      <c r="E134" s="6" t="s">
        <v>23</v>
      </c>
      <c r="F134" s="2" t="s">
        <v>24</v>
      </c>
      <c r="G134" s="2" t="s">
        <v>319</v>
      </c>
      <c r="H134" s="2" t="s">
        <v>26</v>
      </c>
      <c r="I134" s="2"/>
      <c r="J134" s="2">
        <v>1318815</v>
      </c>
      <c r="K134" s="2">
        <v>4406</v>
      </c>
      <c r="L134" s="2" t="s">
        <v>27</v>
      </c>
      <c r="M134" s="2" t="s">
        <v>28</v>
      </c>
      <c r="N134" s="2">
        <v>10411</v>
      </c>
    </row>
    <row r="135" spans="1:14">
      <c r="A135" s="6" t="s">
        <v>68</v>
      </c>
      <c r="B135" s="6" t="s">
        <v>69</v>
      </c>
      <c r="C135" s="6"/>
      <c r="D135" s="6">
        <v>3618</v>
      </c>
      <c r="E135" s="6" t="s">
        <v>23</v>
      </c>
      <c r="F135" s="2" t="s">
        <v>24</v>
      </c>
      <c r="G135" s="2" t="s">
        <v>320</v>
      </c>
      <c r="H135" s="2" t="s">
        <v>26</v>
      </c>
      <c r="I135" s="2"/>
      <c r="J135" s="2">
        <v>1317281</v>
      </c>
      <c r="K135" s="2">
        <v>4406</v>
      </c>
      <c r="L135" s="2" t="s">
        <v>27</v>
      </c>
      <c r="M135" s="2" t="s">
        <v>28</v>
      </c>
      <c r="N135" s="2">
        <v>8468</v>
      </c>
    </row>
    <row r="136" spans="1:14">
      <c r="A136" s="6" t="s">
        <v>71</v>
      </c>
      <c r="B136" s="6" t="s">
        <v>72</v>
      </c>
      <c r="C136" s="6"/>
      <c r="D136" s="6">
        <v>3618</v>
      </c>
      <c r="E136" s="6" t="s">
        <v>23</v>
      </c>
      <c r="F136" s="2" t="s">
        <v>24</v>
      </c>
      <c r="G136" s="2" t="s">
        <v>321</v>
      </c>
      <c r="H136" s="2" t="s">
        <v>26</v>
      </c>
      <c r="I136" s="2"/>
      <c r="J136" s="2">
        <v>1316808</v>
      </c>
      <c r="K136" s="2">
        <v>4406</v>
      </c>
      <c r="L136" s="2" t="s">
        <v>27</v>
      </c>
      <c r="M136" s="2" t="s">
        <v>28</v>
      </c>
      <c r="N136" s="2">
        <v>4578</v>
      </c>
    </row>
    <row r="137" spans="1:14">
      <c r="A137" s="6" t="s">
        <v>74</v>
      </c>
      <c r="B137" s="6" t="s">
        <v>75</v>
      </c>
      <c r="C137" s="6"/>
      <c r="D137" s="6">
        <v>3618</v>
      </c>
      <c r="E137" s="6" t="s">
        <v>23</v>
      </c>
      <c r="F137" s="2" t="s">
        <v>24</v>
      </c>
      <c r="G137" s="2" t="s">
        <v>322</v>
      </c>
      <c r="H137" s="2" t="s">
        <v>26</v>
      </c>
      <c r="I137" s="2"/>
      <c r="J137" s="2">
        <v>1317380</v>
      </c>
      <c r="K137" s="2">
        <v>4406</v>
      </c>
      <c r="L137" s="2" t="s">
        <v>27</v>
      </c>
      <c r="M137" s="2" t="s">
        <v>28</v>
      </c>
      <c r="N137" s="2">
        <v>10419</v>
      </c>
    </row>
    <row r="138" spans="1:14">
      <c r="A138" s="6" t="s">
        <v>77</v>
      </c>
      <c r="B138" s="6" t="s">
        <v>78</v>
      </c>
      <c r="C138" s="6"/>
      <c r="D138" s="6">
        <v>3618</v>
      </c>
      <c r="E138" s="6" t="s">
        <v>23</v>
      </c>
      <c r="F138" s="2" t="s">
        <v>24</v>
      </c>
      <c r="G138" s="2" t="s">
        <v>323</v>
      </c>
      <c r="H138" s="2" t="s">
        <v>26</v>
      </c>
      <c r="I138" s="2"/>
      <c r="J138" s="2">
        <v>1318947</v>
      </c>
      <c r="K138" s="2">
        <v>4406</v>
      </c>
      <c r="L138" s="2" t="s">
        <v>27</v>
      </c>
      <c r="M138" s="2" t="s">
        <v>28</v>
      </c>
      <c r="N138" s="2">
        <v>10420</v>
      </c>
    </row>
    <row r="139" spans="1:14">
      <c r="A139" s="6" t="s">
        <v>80</v>
      </c>
      <c r="B139" s="6" t="s">
        <v>81</v>
      </c>
      <c r="C139" s="6"/>
      <c r="D139" s="6">
        <v>3618</v>
      </c>
      <c r="E139" s="6" t="s">
        <v>23</v>
      </c>
      <c r="F139" s="2" t="s">
        <v>24</v>
      </c>
      <c r="G139" s="2" t="s">
        <v>324</v>
      </c>
      <c r="H139" s="2" t="s">
        <v>26</v>
      </c>
      <c r="I139" s="2"/>
      <c r="J139" s="2">
        <v>1316781</v>
      </c>
      <c r="K139" s="2">
        <v>4406</v>
      </c>
      <c r="L139" s="2" t="s">
        <v>27</v>
      </c>
      <c r="M139" s="2" t="s">
        <v>28</v>
      </c>
      <c r="N139" s="2">
        <v>10421</v>
      </c>
    </row>
    <row r="140" spans="1:14">
      <c r="A140" s="6" t="s">
        <v>83</v>
      </c>
      <c r="B140" s="6" t="s">
        <v>84</v>
      </c>
      <c r="C140" s="6"/>
      <c r="D140" s="6">
        <v>3618</v>
      </c>
      <c r="E140" s="6" t="s">
        <v>23</v>
      </c>
      <c r="F140" s="2" t="s">
        <v>24</v>
      </c>
      <c r="G140" s="2" t="s">
        <v>325</v>
      </c>
      <c r="H140" s="2" t="s">
        <v>26</v>
      </c>
      <c r="I140" s="2"/>
      <c r="J140" s="2">
        <v>1319377</v>
      </c>
      <c r="K140" s="2">
        <v>4406</v>
      </c>
      <c r="L140" s="2" t="s">
        <v>27</v>
      </c>
      <c r="M140" s="2" t="s">
        <v>28</v>
      </c>
      <c r="N140" s="2">
        <v>10422</v>
      </c>
    </row>
    <row r="141" spans="1:14">
      <c r="A141" s="6" t="s">
        <v>86</v>
      </c>
      <c r="B141" s="6" t="s">
        <v>87</v>
      </c>
      <c r="C141" s="6"/>
      <c r="D141" s="6">
        <v>3618</v>
      </c>
      <c r="E141" s="6" t="s">
        <v>23</v>
      </c>
      <c r="F141" s="2" t="s">
        <v>24</v>
      </c>
      <c r="G141" s="2" t="s">
        <v>326</v>
      </c>
      <c r="H141" s="2" t="s">
        <v>26</v>
      </c>
      <c r="I141" s="2"/>
      <c r="J141" s="2">
        <v>1317371</v>
      </c>
      <c r="K141" s="2">
        <v>4406</v>
      </c>
      <c r="L141" s="2" t="s">
        <v>27</v>
      </c>
      <c r="M141" s="2" t="s">
        <v>28</v>
      </c>
      <c r="N141" s="2">
        <v>10423</v>
      </c>
    </row>
    <row r="142" spans="1:14">
      <c r="A142" s="6" t="s">
        <v>89</v>
      </c>
      <c r="B142" s="6" t="s">
        <v>90</v>
      </c>
      <c r="C142" s="6"/>
      <c r="D142" s="6">
        <v>3618</v>
      </c>
      <c r="E142" s="6" t="s">
        <v>23</v>
      </c>
      <c r="F142" s="2" t="s">
        <v>24</v>
      </c>
      <c r="G142" s="2" t="s">
        <v>327</v>
      </c>
      <c r="H142" s="2" t="s">
        <v>26</v>
      </c>
      <c r="I142" s="2"/>
      <c r="J142" s="2">
        <v>1317040</v>
      </c>
      <c r="K142" s="2">
        <v>4406</v>
      </c>
      <c r="L142" s="2" t="s">
        <v>27</v>
      </c>
      <c r="M142" s="2" t="s">
        <v>28</v>
      </c>
      <c r="N142" s="2">
        <v>10424</v>
      </c>
    </row>
    <row r="143" spans="1:14">
      <c r="A143" s="6" t="s">
        <v>92</v>
      </c>
      <c r="B143" s="6" t="s">
        <v>93</v>
      </c>
      <c r="C143" s="6"/>
      <c r="D143" s="6">
        <v>3618</v>
      </c>
      <c r="E143" s="6" t="s">
        <v>23</v>
      </c>
      <c r="F143" s="2" t="s">
        <v>24</v>
      </c>
      <c r="G143" s="2" t="s">
        <v>328</v>
      </c>
      <c r="H143" s="2" t="s">
        <v>26</v>
      </c>
      <c r="I143" s="2"/>
      <c r="J143" s="2">
        <v>1319592</v>
      </c>
      <c r="K143" s="2">
        <v>4406</v>
      </c>
      <c r="L143" s="2" t="s">
        <v>27</v>
      </c>
      <c r="M143" s="2" t="s">
        <v>28</v>
      </c>
      <c r="N143" s="2">
        <v>10425</v>
      </c>
    </row>
    <row r="144" spans="1:14">
      <c r="A144" s="6" t="s">
        <v>95</v>
      </c>
      <c r="B144" s="6" t="s">
        <v>96</v>
      </c>
      <c r="C144" s="6"/>
      <c r="D144" s="6">
        <v>3618</v>
      </c>
      <c r="E144" s="6" t="s">
        <v>23</v>
      </c>
      <c r="F144" s="2" t="s">
        <v>24</v>
      </c>
      <c r="G144" s="2" t="s">
        <v>329</v>
      </c>
      <c r="H144" s="2" t="s">
        <v>26</v>
      </c>
      <c r="I144" s="2"/>
      <c r="J144" s="2">
        <v>1317582</v>
      </c>
      <c r="K144" s="2">
        <v>4406</v>
      </c>
      <c r="L144" s="2" t="s">
        <v>27</v>
      </c>
      <c r="M144" s="2" t="s">
        <v>28</v>
      </c>
      <c r="N144" s="2">
        <v>10426</v>
      </c>
    </row>
    <row r="145" spans="1:14">
      <c r="A145" s="7" t="s">
        <v>98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>
        <f>ROWS(A128:N144)</f>
        <v>17</v>
      </c>
    </row>
    <row r="146" spans="1:14">
      <c r="A146" s="7" t="s">
        <v>98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>
        <f>ROWS(A128:N144)</f>
        <v>17</v>
      </c>
    </row>
    <row r="147" spans="1:14" customHeight="1" ht="20">
      <c r="A147" s="4" t="s">
        <v>330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customHeight="1" ht="20">
      <c r="A148" s="4" t="s">
        <v>331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13</v>
      </c>
      <c r="H149" s="5" t="s">
        <v>14</v>
      </c>
      <c r="I149" s="5" t="s">
        <v>15</v>
      </c>
      <c r="J149" s="5" t="s">
        <v>16</v>
      </c>
      <c r="K149" s="5" t="s">
        <v>17</v>
      </c>
      <c r="L149" s="5" t="s">
        <v>18</v>
      </c>
      <c r="M149" s="5" t="s">
        <v>19</v>
      </c>
      <c r="N149" s="5" t="s">
        <v>20</v>
      </c>
    </row>
    <row r="150" spans="1:14">
      <c r="A150" s="6" t="s">
        <v>332</v>
      </c>
      <c r="B150" s="6" t="s">
        <v>333</v>
      </c>
      <c r="C150" s="6"/>
      <c r="D150" s="6">
        <v>3403</v>
      </c>
      <c r="E150" s="6" t="s">
        <v>23</v>
      </c>
      <c r="F150" s="2" t="s">
        <v>24</v>
      </c>
      <c r="G150" s="2" t="s">
        <v>334</v>
      </c>
      <c r="H150" s="2" t="s">
        <v>26</v>
      </c>
      <c r="I150" s="2"/>
      <c r="J150" s="2">
        <v>1317242</v>
      </c>
      <c r="K150" s="2">
        <v>4392</v>
      </c>
      <c r="L150" s="2" t="s">
        <v>27</v>
      </c>
      <c r="M150" s="2" t="s">
        <v>28</v>
      </c>
      <c r="N150" s="2">
        <v>10388</v>
      </c>
    </row>
    <row r="151" spans="1:14">
      <c r="A151" s="6" t="s">
        <v>335</v>
      </c>
      <c r="B151" s="6" t="s">
        <v>336</v>
      </c>
      <c r="C151" s="6"/>
      <c r="D151" s="6">
        <v>3403</v>
      </c>
      <c r="E151" s="6" t="s">
        <v>23</v>
      </c>
      <c r="F151" s="2" t="s">
        <v>24</v>
      </c>
      <c r="G151" s="2" t="s">
        <v>337</v>
      </c>
      <c r="H151" s="2" t="s">
        <v>26</v>
      </c>
      <c r="I151" s="2"/>
      <c r="J151" s="2">
        <v>1317462</v>
      </c>
      <c r="K151" s="2">
        <v>4392</v>
      </c>
      <c r="L151" s="2" t="s">
        <v>27</v>
      </c>
      <c r="M151" s="2" t="s">
        <v>28</v>
      </c>
      <c r="N151" s="2">
        <v>12307</v>
      </c>
    </row>
    <row r="152" spans="1:14">
      <c r="A152" s="6" t="s">
        <v>338</v>
      </c>
      <c r="B152" s="6" t="s">
        <v>339</v>
      </c>
      <c r="C152" s="6"/>
      <c r="D152" s="6">
        <v>3403</v>
      </c>
      <c r="E152" s="6" t="s">
        <v>23</v>
      </c>
      <c r="F152" s="2" t="s">
        <v>24</v>
      </c>
      <c r="G152" s="2" t="s">
        <v>340</v>
      </c>
      <c r="H152" s="2" t="s">
        <v>26</v>
      </c>
      <c r="I152" s="2"/>
      <c r="J152" s="2">
        <v>1317190</v>
      </c>
      <c r="K152" s="2">
        <v>4392</v>
      </c>
      <c r="L152" s="2" t="s">
        <v>27</v>
      </c>
      <c r="M152" s="2" t="s">
        <v>28</v>
      </c>
      <c r="N152" s="2">
        <v>12308</v>
      </c>
    </row>
    <row r="153" spans="1:14">
      <c r="A153" s="6" t="s">
        <v>341</v>
      </c>
      <c r="B153" s="6" t="s">
        <v>342</v>
      </c>
      <c r="C153" s="6"/>
      <c r="D153" s="6">
        <v>3403</v>
      </c>
      <c r="E153" s="6" t="s">
        <v>23</v>
      </c>
      <c r="F153" s="2" t="s">
        <v>24</v>
      </c>
      <c r="G153" s="2" t="s">
        <v>343</v>
      </c>
      <c r="H153" s="2" t="s">
        <v>26</v>
      </c>
      <c r="I153" s="2"/>
      <c r="J153" s="2">
        <v>1317349</v>
      </c>
      <c r="K153" s="2">
        <v>4392</v>
      </c>
      <c r="L153" s="2" t="s">
        <v>27</v>
      </c>
      <c r="M153" s="2" t="s">
        <v>28</v>
      </c>
      <c r="N153" s="2">
        <v>12309</v>
      </c>
    </row>
    <row r="154" spans="1:14">
      <c r="A154" s="6" t="s">
        <v>344</v>
      </c>
      <c r="B154" s="6" t="s">
        <v>345</v>
      </c>
      <c r="C154" s="6"/>
      <c r="D154" s="6">
        <v>3403</v>
      </c>
      <c r="E154" s="6" t="s">
        <v>23</v>
      </c>
      <c r="F154" s="2" t="s">
        <v>24</v>
      </c>
      <c r="G154" s="2" t="s">
        <v>346</v>
      </c>
      <c r="H154" s="2" t="s">
        <v>26</v>
      </c>
      <c r="I154" s="2"/>
      <c r="J154" s="2">
        <v>1316768</v>
      </c>
      <c r="K154" s="2">
        <v>4392</v>
      </c>
      <c r="L154" s="2" t="s">
        <v>27</v>
      </c>
      <c r="M154" s="2" t="s">
        <v>28</v>
      </c>
      <c r="N154" s="2">
        <v>12310</v>
      </c>
    </row>
    <row r="155" spans="1:14">
      <c r="A155" s="6" t="s">
        <v>347</v>
      </c>
      <c r="B155" s="6" t="s">
        <v>348</v>
      </c>
      <c r="C155" s="6"/>
      <c r="D155" s="6">
        <v>3403</v>
      </c>
      <c r="E155" s="6" t="s">
        <v>23</v>
      </c>
      <c r="F155" s="2" t="s">
        <v>24</v>
      </c>
      <c r="G155" s="2" t="s">
        <v>349</v>
      </c>
      <c r="H155" s="2" t="s">
        <v>26</v>
      </c>
      <c r="I155" s="2"/>
      <c r="J155" s="2">
        <v>1319145</v>
      </c>
      <c r="K155" s="2">
        <v>4392</v>
      </c>
      <c r="L155" s="2" t="s">
        <v>27</v>
      </c>
      <c r="M155" s="2" t="s">
        <v>28</v>
      </c>
      <c r="N155" s="2">
        <v>10391</v>
      </c>
    </row>
    <row r="156" spans="1:14">
      <c r="A156" s="6" t="s">
        <v>350</v>
      </c>
      <c r="B156" s="6" t="s">
        <v>351</v>
      </c>
      <c r="C156" s="6"/>
      <c r="D156" s="6">
        <v>3403</v>
      </c>
      <c r="E156" s="6" t="s">
        <v>23</v>
      </c>
      <c r="F156" s="2" t="s">
        <v>24</v>
      </c>
      <c r="G156" s="2" t="s">
        <v>352</v>
      </c>
      <c r="H156" s="2" t="s">
        <v>26</v>
      </c>
      <c r="I156" s="2"/>
      <c r="J156" s="2">
        <v>1317077</v>
      </c>
      <c r="K156" s="2">
        <v>4392</v>
      </c>
      <c r="L156" s="2" t="s">
        <v>27</v>
      </c>
      <c r="M156" s="2" t="s">
        <v>28</v>
      </c>
      <c r="N156" s="2">
        <v>2945</v>
      </c>
    </row>
    <row r="157" spans="1:14">
      <c r="A157" s="7" t="s">
        <v>98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>
        <f>ROWS(A150:N156)</f>
        <v>7</v>
      </c>
    </row>
    <row r="158" spans="1:14" customHeight="1" ht="20">
      <c r="A158" s="4" t="s">
        <v>124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13</v>
      </c>
      <c r="H159" s="5" t="s">
        <v>14</v>
      </c>
      <c r="I159" s="5" t="s">
        <v>15</v>
      </c>
      <c r="J159" s="5" t="s">
        <v>16</v>
      </c>
      <c r="K159" s="5" t="s">
        <v>17</v>
      </c>
      <c r="L159" s="5" t="s">
        <v>18</v>
      </c>
      <c r="M159" s="5" t="s">
        <v>19</v>
      </c>
      <c r="N159" s="5" t="s">
        <v>20</v>
      </c>
    </row>
    <row r="160" spans="1:14">
      <c r="A160" s="6" t="s">
        <v>353</v>
      </c>
      <c r="B160" s="6" t="s">
        <v>354</v>
      </c>
      <c r="C160" s="6"/>
      <c r="D160" s="6">
        <v>3403</v>
      </c>
      <c r="E160" s="6" t="s">
        <v>23</v>
      </c>
      <c r="F160" s="2" t="s">
        <v>24</v>
      </c>
      <c r="G160" s="2" t="s">
        <v>355</v>
      </c>
      <c r="H160" s="2" t="s">
        <v>26</v>
      </c>
      <c r="I160" s="2"/>
      <c r="J160" s="2">
        <v>1323557</v>
      </c>
      <c r="K160" s="2">
        <v>4392</v>
      </c>
      <c r="L160" s="2" t="s">
        <v>27</v>
      </c>
      <c r="M160" s="2" t="s">
        <v>28</v>
      </c>
      <c r="N160" s="2">
        <v>12479</v>
      </c>
    </row>
    <row r="161" spans="1:14">
      <c r="A161" s="7" t="s">
        <v>98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>
        <f>ROWS(A160:N160)</f>
        <v>1</v>
      </c>
    </row>
    <row r="162" spans="1:14" customHeight="1" ht="20">
      <c r="A162" s="4" t="s">
        <v>108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13</v>
      </c>
      <c r="H163" s="5" t="s">
        <v>14</v>
      </c>
      <c r="I163" s="5" t="s">
        <v>15</v>
      </c>
      <c r="J163" s="5" t="s">
        <v>16</v>
      </c>
      <c r="K163" s="5" t="s">
        <v>17</v>
      </c>
      <c r="L163" s="5" t="s">
        <v>18</v>
      </c>
      <c r="M163" s="5" t="s">
        <v>19</v>
      </c>
      <c r="N163" s="5" t="s">
        <v>20</v>
      </c>
    </row>
    <row r="164" spans="1:14">
      <c r="A164" s="6" t="s">
        <v>356</v>
      </c>
      <c r="B164" s="6" t="s">
        <v>357</v>
      </c>
      <c r="C164" s="6"/>
      <c r="D164" s="6">
        <v>3403</v>
      </c>
      <c r="E164" s="6" t="s">
        <v>23</v>
      </c>
      <c r="F164" s="2" t="s">
        <v>24</v>
      </c>
      <c r="G164" s="2" t="s">
        <v>358</v>
      </c>
      <c r="H164" s="2" t="s">
        <v>26</v>
      </c>
      <c r="I164" s="2"/>
      <c r="J164" s="2">
        <v>1317459</v>
      </c>
      <c r="K164" s="2">
        <v>4392</v>
      </c>
      <c r="L164" s="2" t="s">
        <v>27</v>
      </c>
      <c r="M164" s="2" t="s">
        <v>28</v>
      </c>
      <c r="N164" s="2">
        <v>8664</v>
      </c>
    </row>
    <row r="165" spans="1:14">
      <c r="A165" s="7" t="s">
        <v>98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>
        <f>ROWS(A164:N164)</f>
        <v>1</v>
      </c>
    </row>
    <row r="166" spans="1:14">
      <c r="A166" s="7" t="s">
        <v>98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>
        <f>ROWS(A150:N156) + ROWS(A160:N160) + ROWS(A164:N164)</f>
        <v>9</v>
      </c>
    </row>
    <row r="167" spans="1:14" customHeight="1" ht="20">
      <c r="A167" s="4" t="s">
        <v>359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customHeight="1" ht="20">
      <c r="A168" s="4" t="s">
        <v>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13</v>
      </c>
      <c r="H169" s="5" t="s">
        <v>14</v>
      </c>
      <c r="I169" s="5" t="s">
        <v>15</v>
      </c>
      <c r="J169" s="5" t="s">
        <v>16</v>
      </c>
      <c r="K169" s="5" t="s">
        <v>17</v>
      </c>
      <c r="L169" s="5" t="s">
        <v>18</v>
      </c>
      <c r="M169" s="5" t="s">
        <v>19</v>
      </c>
      <c r="N169" s="5" t="s">
        <v>20</v>
      </c>
    </row>
    <row r="170" spans="1:14">
      <c r="A170" s="6" t="s">
        <v>21</v>
      </c>
      <c r="B170" s="6" t="s">
        <v>22</v>
      </c>
      <c r="C170" s="6"/>
      <c r="D170" s="6">
        <v>3619</v>
      </c>
      <c r="E170" s="6" t="s">
        <v>23</v>
      </c>
      <c r="F170" s="2" t="s">
        <v>24</v>
      </c>
      <c r="G170" s="2" t="s">
        <v>360</v>
      </c>
      <c r="H170" s="2" t="s">
        <v>26</v>
      </c>
      <c r="I170" s="2"/>
      <c r="J170" s="2">
        <v>1319608</v>
      </c>
      <c r="K170" s="2">
        <v>4407</v>
      </c>
      <c r="L170" s="2" t="s">
        <v>27</v>
      </c>
      <c r="M170" s="2" t="s">
        <v>28</v>
      </c>
      <c r="N170" s="2">
        <v>10401</v>
      </c>
    </row>
    <row r="171" spans="1:14">
      <c r="A171" s="6" t="s">
        <v>29</v>
      </c>
      <c r="B171" s="6" t="s">
        <v>30</v>
      </c>
      <c r="C171" s="6"/>
      <c r="D171" s="6">
        <v>3619</v>
      </c>
      <c r="E171" s="6" t="s">
        <v>23</v>
      </c>
      <c r="F171" s="2" t="s">
        <v>24</v>
      </c>
      <c r="G171" s="2" t="s">
        <v>361</v>
      </c>
      <c r="H171" s="2" t="s">
        <v>26</v>
      </c>
      <c r="I171" s="2"/>
      <c r="J171" s="2">
        <v>1317601</v>
      </c>
      <c r="K171" s="2">
        <v>4407</v>
      </c>
      <c r="L171" s="2" t="s">
        <v>27</v>
      </c>
      <c r="M171" s="2" t="s">
        <v>28</v>
      </c>
      <c r="N171" s="2">
        <v>10402</v>
      </c>
    </row>
    <row r="172" spans="1:14">
      <c r="A172" s="6" t="s">
        <v>32</v>
      </c>
      <c r="B172" s="6" t="s">
        <v>33</v>
      </c>
      <c r="C172" s="6"/>
      <c r="D172" s="6">
        <v>3619</v>
      </c>
      <c r="E172" s="6" t="s">
        <v>23</v>
      </c>
      <c r="F172" s="2" t="s">
        <v>24</v>
      </c>
      <c r="G172" s="2" t="s">
        <v>362</v>
      </c>
      <c r="H172" s="2" t="s">
        <v>26</v>
      </c>
      <c r="I172" s="2"/>
      <c r="J172" s="2">
        <v>1318929</v>
      </c>
      <c r="K172" s="2">
        <v>4407</v>
      </c>
      <c r="L172" s="2" t="s">
        <v>27</v>
      </c>
      <c r="M172" s="2" t="s">
        <v>28</v>
      </c>
      <c r="N172" s="2">
        <v>10403</v>
      </c>
    </row>
    <row r="173" spans="1:14">
      <c r="A173" s="6" t="s">
        <v>41</v>
      </c>
      <c r="B173" s="6" t="s">
        <v>42</v>
      </c>
      <c r="C173" s="6"/>
      <c r="D173" s="6">
        <v>3619</v>
      </c>
      <c r="E173" s="6" t="s">
        <v>23</v>
      </c>
      <c r="F173" s="2" t="s">
        <v>24</v>
      </c>
      <c r="G173" s="2" t="s">
        <v>363</v>
      </c>
      <c r="H173" s="2" t="s">
        <v>26</v>
      </c>
      <c r="I173" s="2"/>
      <c r="J173" s="2">
        <v>1316842</v>
      </c>
      <c r="K173" s="2">
        <v>4407</v>
      </c>
      <c r="L173" s="2" t="s">
        <v>27</v>
      </c>
      <c r="M173" s="2" t="s">
        <v>28</v>
      </c>
      <c r="N173" s="2">
        <v>10405</v>
      </c>
    </row>
    <row r="174" spans="1:14">
      <c r="A174" s="6" t="s">
        <v>44</v>
      </c>
      <c r="B174" s="6" t="s">
        <v>45</v>
      </c>
      <c r="C174" s="6"/>
      <c r="D174" s="6">
        <v>3619</v>
      </c>
      <c r="E174" s="6" t="s">
        <v>23</v>
      </c>
      <c r="F174" s="2" t="s">
        <v>24</v>
      </c>
      <c r="G174" s="2" t="s">
        <v>364</v>
      </c>
      <c r="H174" s="2" t="s">
        <v>26</v>
      </c>
      <c r="I174" s="2"/>
      <c r="J174" s="2">
        <v>1318921</v>
      </c>
      <c r="K174" s="2">
        <v>4407</v>
      </c>
      <c r="L174" s="2" t="s">
        <v>27</v>
      </c>
      <c r="M174" s="2" t="s">
        <v>28</v>
      </c>
      <c r="N174" s="2">
        <v>10407</v>
      </c>
    </row>
    <row r="175" spans="1:14">
      <c r="A175" s="6" t="s">
        <v>47</v>
      </c>
      <c r="B175" s="6" t="s">
        <v>48</v>
      </c>
      <c r="C175" s="6"/>
      <c r="D175" s="6">
        <v>3619</v>
      </c>
      <c r="E175" s="6" t="s">
        <v>23</v>
      </c>
      <c r="F175" s="2" t="s">
        <v>24</v>
      </c>
      <c r="G175" s="2" t="s">
        <v>365</v>
      </c>
      <c r="H175" s="2" t="s">
        <v>26</v>
      </c>
      <c r="I175" s="2"/>
      <c r="J175" s="2">
        <v>1392672</v>
      </c>
      <c r="K175" s="2">
        <v>4407</v>
      </c>
      <c r="L175" s="2" t="s">
        <v>27</v>
      </c>
      <c r="M175" s="2" t="s">
        <v>28</v>
      </c>
      <c r="N175" s="2">
        <v>10410</v>
      </c>
    </row>
    <row r="176" spans="1:14">
      <c r="A176" s="6" t="s">
        <v>50</v>
      </c>
      <c r="B176" s="6" t="s">
        <v>51</v>
      </c>
      <c r="C176" s="6"/>
      <c r="D176" s="6">
        <v>3619</v>
      </c>
      <c r="E176" s="6" t="s">
        <v>23</v>
      </c>
      <c r="F176" s="2" t="s">
        <v>24</v>
      </c>
      <c r="G176" s="2" t="s">
        <v>366</v>
      </c>
      <c r="H176" s="2" t="s">
        <v>26</v>
      </c>
      <c r="I176" s="2"/>
      <c r="J176" s="2">
        <v>1318942</v>
      </c>
      <c r="K176" s="2">
        <v>4407</v>
      </c>
      <c r="L176" s="2" t="s">
        <v>27</v>
      </c>
      <c r="M176" s="2" t="s">
        <v>28</v>
      </c>
      <c r="N176" s="2">
        <v>10411</v>
      </c>
    </row>
    <row r="177" spans="1:14">
      <c r="A177" s="6" t="s">
        <v>53</v>
      </c>
      <c r="B177" s="6" t="s">
        <v>54</v>
      </c>
      <c r="C177" s="6"/>
      <c r="D177" s="6">
        <v>3619</v>
      </c>
      <c r="E177" s="6" t="s">
        <v>23</v>
      </c>
      <c r="F177" s="2" t="s">
        <v>24</v>
      </c>
      <c r="G177" s="2" t="s">
        <v>367</v>
      </c>
      <c r="H177" s="2" t="s">
        <v>26</v>
      </c>
      <c r="I177" s="2"/>
      <c r="J177" s="2">
        <v>1323109</v>
      </c>
      <c r="K177" s="2">
        <v>4407</v>
      </c>
      <c r="L177" s="2" t="s">
        <v>27</v>
      </c>
      <c r="M177" s="2" t="s">
        <v>28</v>
      </c>
      <c r="N177" s="2">
        <v>10412</v>
      </c>
    </row>
    <row r="178" spans="1:14">
      <c r="A178" s="6" t="s">
        <v>56</v>
      </c>
      <c r="B178" s="6" t="s">
        <v>57</v>
      </c>
      <c r="C178" s="6"/>
      <c r="D178" s="6">
        <v>3619</v>
      </c>
      <c r="E178" s="6" t="s">
        <v>23</v>
      </c>
      <c r="F178" s="2" t="s">
        <v>24</v>
      </c>
      <c r="G178" s="2" t="s">
        <v>368</v>
      </c>
      <c r="H178" s="2" t="s">
        <v>26</v>
      </c>
      <c r="I178" s="2"/>
      <c r="J178" s="2">
        <v>1319612</v>
      </c>
      <c r="K178" s="2">
        <v>4407</v>
      </c>
      <c r="L178" s="2" t="s">
        <v>27</v>
      </c>
      <c r="M178" s="2" t="s">
        <v>28</v>
      </c>
      <c r="N178" s="2">
        <v>10414</v>
      </c>
    </row>
    <row r="179" spans="1:14">
      <c r="A179" s="6" t="s">
        <v>59</v>
      </c>
      <c r="B179" s="6" t="s">
        <v>60</v>
      </c>
      <c r="C179" s="6"/>
      <c r="D179" s="6">
        <v>3619</v>
      </c>
      <c r="E179" s="6" t="s">
        <v>23</v>
      </c>
      <c r="F179" s="2" t="s">
        <v>24</v>
      </c>
      <c r="G179" s="2" t="s">
        <v>369</v>
      </c>
      <c r="H179" s="2" t="s">
        <v>26</v>
      </c>
      <c r="I179" s="2"/>
      <c r="J179" s="2">
        <v>1319578</v>
      </c>
      <c r="K179" s="2">
        <v>4407</v>
      </c>
      <c r="L179" s="2" t="s">
        <v>27</v>
      </c>
      <c r="M179" s="2" t="s">
        <v>28</v>
      </c>
      <c r="N179" s="2">
        <v>10487</v>
      </c>
    </row>
    <row r="180" spans="1:14">
      <c r="A180" s="6" t="s">
        <v>65</v>
      </c>
      <c r="B180" s="6" t="s">
        <v>66</v>
      </c>
      <c r="C180" s="6"/>
      <c r="D180" s="6">
        <v>3619</v>
      </c>
      <c r="E180" s="6" t="s">
        <v>23</v>
      </c>
      <c r="F180" s="2" t="s">
        <v>24</v>
      </c>
      <c r="G180" s="2" t="s">
        <v>370</v>
      </c>
      <c r="H180" s="2" t="s">
        <v>26</v>
      </c>
      <c r="I180" s="2"/>
      <c r="J180" s="2">
        <v>1319311</v>
      </c>
      <c r="K180" s="2">
        <v>4407</v>
      </c>
      <c r="L180" s="2" t="s">
        <v>27</v>
      </c>
      <c r="M180" s="2" t="s">
        <v>28</v>
      </c>
      <c r="N180" s="2">
        <v>1253</v>
      </c>
    </row>
    <row r="181" spans="1:14">
      <c r="A181" s="6" t="s">
        <v>68</v>
      </c>
      <c r="B181" s="6" t="s">
        <v>69</v>
      </c>
      <c r="C181" s="6"/>
      <c r="D181" s="6">
        <v>3619</v>
      </c>
      <c r="E181" s="6" t="s">
        <v>23</v>
      </c>
      <c r="F181" s="2" t="s">
        <v>24</v>
      </c>
      <c r="G181" s="2" t="s">
        <v>371</v>
      </c>
      <c r="H181" s="2" t="s">
        <v>26</v>
      </c>
      <c r="I181" s="2"/>
      <c r="J181" s="2">
        <v>1317284</v>
      </c>
      <c r="K181" s="2">
        <v>4407</v>
      </c>
      <c r="L181" s="2" t="s">
        <v>27</v>
      </c>
      <c r="M181" s="2" t="s">
        <v>28</v>
      </c>
      <c r="N181" s="2">
        <v>8468</v>
      </c>
    </row>
    <row r="182" spans="1:14">
      <c r="A182" s="6" t="s">
        <v>71</v>
      </c>
      <c r="B182" s="6" t="s">
        <v>72</v>
      </c>
      <c r="C182" s="6"/>
      <c r="D182" s="6">
        <v>3619</v>
      </c>
      <c r="E182" s="6" t="s">
        <v>23</v>
      </c>
      <c r="F182" s="2" t="s">
        <v>24</v>
      </c>
      <c r="G182" s="2" t="s">
        <v>372</v>
      </c>
      <c r="H182" s="2" t="s">
        <v>26</v>
      </c>
      <c r="I182" s="2"/>
      <c r="J182" s="2">
        <v>1316816</v>
      </c>
      <c r="K182" s="2">
        <v>4407</v>
      </c>
      <c r="L182" s="2" t="s">
        <v>27</v>
      </c>
      <c r="M182" s="2" t="s">
        <v>28</v>
      </c>
      <c r="N182" s="2">
        <v>4578</v>
      </c>
    </row>
    <row r="183" spans="1:14">
      <c r="A183" s="6" t="s">
        <v>77</v>
      </c>
      <c r="B183" s="6" t="s">
        <v>78</v>
      </c>
      <c r="C183" s="6"/>
      <c r="D183" s="6">
        <v>3619</v>
      </c>
      <c r="E183" s="6" t="s">
        <v>23</v>
      </c>
      <c r="F183" s="2" t="s">
        <v>24</v>
      </c>
      <c r="G183" s="2" t="s">
        <v>373</v>
      </c>
      <c r="H183" s="2" t="s">
        <v>26</v>
      </c>
      <c r="I183" s="2"/>
      <c r="J183" s="2">
        <v>1318948</v>
      </c>
      <c r="K183" s="2">
        <v>4407</v>
      </c>
      <c r="L183" s="2" t="s">
        <v>27</v>
      </c>
      <c r="M183" s="2" t="s">
        <v>28</v>
      </c>
      <c r="N183" s="2">
        <v>10420</v>
      </c>
    </row>
    <row r="184" spans="1:14">
      <c r="A184" s="6" t="s">
        <v>80</v>
      </c>
      <c r="B184" s="6" t="s">
        <v>81</v>
      </c>
      <c r="C184" s="6"/>
      <c r="D184" s="6">
        <v>3619</v>
      </c>
      <c r="E184" s="6" t="s">
        <v>23</v>
      </c>
      <c r="F184" s="2" t="s">
        <v>24</v>
      </c>
      <c r="G184" s="2" t="s">
        <v>374</v>
      </c>
      <c r="H184" s="2" t="s">
        <v>26</v>
      </c>
      <c r="I184" s="2"/>
      <c r="J184" s="2">
        <v>1316782</v>
      </c>
      <c r="K184" s="2">
        <v>4407</v>
      </c>
      <c r="L184" s="2" t="s">
        <v>27</v>
      </c>
      <c r="M184" s="2" t="s">
        <v>28</v>
      </c>
      <c r="N184" s="2">
        <v>10421</v>
      </c>
    </row>
    <row r="185" spans="1:14">
      <c r="A185" s="6" t="s">
        <v>86</v>
      </c>
      <c r="B185" s="6" t="s">
        <v>87</v>
      </c>
      <c r="C185" s="6"/>
      <c r="D185" s="6">
        <v>3619</v>
      </c>
      <c r="E185" s="6" t="s">
        <v>23</v>
      </c>
      <c r="F185" s="2" t="s">
        <v>24</v>
      </c>
      <c r="G185" s="2" t="s">
        <v>375</v>
      </c>
      <c r="H185" s="2" t="s">
        <v>26</v>
      </c>
      <c r="I185" s="2"/>
      <c r="J185" s="2">
        <v>1317373</v>
      </c>
      <c r="K185" s="2">
        <v>4407</v>
      </c>
      <c r="L185" s="2" t="s">
        <v>27</v>
      </c>
      <c r="M185" s="2" t="s">
        <v>28</v>
      </c>
      <c r="N185" s="2">
        <v>10423</v>
      </c>
    </row>
    <row r="186" spans="1:14">
      <c r="A186" s="6" t="s">
        <v>89</v>
      </c>
      <c r="B186" s="6" t="s">
        <v>90</v>
      </c>
      <c r="C186" s="6"/>
      <c r="D186" s="6">
        <v>3619</v>
      </c>
      <c r="E186" s="6" t="s">
        <v>23</v>
      </c>
      <c r="F186" s="2" t="s">
        <v>24</v>
      </c>
      <c r="G186" s="2" t="s">
        <v>376</v>
      </c>
      <c r="H186" s="2" t="s">
        <v>26</v>
      </c>
      <c r="I186" s="2"/>
      <c r="J186" s="2">
        <v>1317043</v>
      </c>
      <c r="K186" s="2">
        <v>4407</v>
      </c>
      <c r="L186" s="2" t="s">
        <v>27</v>
      </c>
      <c r="M186" s="2" t="s">
        <v>28</v>
      </c>
      <c r="N186" s="2">
        <v>10424</v>
      </c>
    </row>
    <row r="187" spans="1:14">
      <c r="A187" s="6" t="s">
        <v>92</v>
      </c>
      <c r="B187" s="6" t="s">
        <v>93</v>
      </c>
      <c r="C187" s="6"/>
      <c r="D187" s="6">
        <v>3619</v>
      </c>
      <c r="E187" s="6" t="s">
        <v>23</v>
      </c>
      <c r="F187" s="2" t="s">
        <v>24</v>
      </c>
      <c r="G187" s="2" t="s">
        <v>377</v>
      </c>
      <c r="H187" s="2" t="s">
        <v>26</v>
      </c>
      <c r="I187" s="2"/>
      <c r="J187" s="2">
        <v>1319594</v>
      </c>
      <c r="K187" s="2">
        <v>4407</v>
      </c>
      <c r="L187" s="2" t="s">
        <v>27</v>
      </c>
      <c r="M187" s="2" t="s">
        <v>28</v>
      </c>
      <c r="N187" s="2">
        <v>10425</v>
      </c>
    </row>
    <row r="188" spans="1:14">
      <c r="A188" s="6" t="s">
        <v>95</v>
      </c>
      <c r="B188" s="6" t="s">
        <v>96</v>
      </c>
      <c r="C188" s="6"/>
      <c r="D188" s="6">
        <v>3619</v>
      </c>
      <c r="E188" s="6" t="s">
        <v>23</v>
      </c>
      <c r="F188" s="2" t="s">
        <v>24</v>
      </c>
      <c r="G188" s="2" t="s">
        <v>378</v>
      </c>
      <c r="H188" s="2" t="s">
        <v>26</v>
      </c>
      <c r="I188" s="2"/>
      <c r="J188" s="2">
        <v>1317584</v>
      </c>
      <c r="K188" s="2">
        <v>4407</v>
      </c>
      <c r="L188" s="2" t="s">
        <v>27</v>
      </c>
      <c r="M188" s="2" t="s">
        <v>28</v>
      </c>
      <c r="N188" s="2">
        <v>10426</v>
      </c>
    </row>
    <row r="189" spans="1:14">
      <c r="A189" s="7" t="s">
        <v>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>
        <f>ROWS(A170:N188)</f>
        <v>19</v>
      </c>
    </row>
    <row r="190" spans="1:14">
      <c r="A190" s="7" t="s">
        <v>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>
        <f>ROWS(A170:N188)</f>
        <v>19</v>
      </c>
    </row>
    <row r="191" spans="1:14" customHeight="1" ht="20">
      <c r="A191" s="4" t="s">
        <v>379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customHeight="1" ht="20">
      <c r="A192" s="4" t="s">
        <v>6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13</v>
      </c>
      <c r="H193" s="5" t="s">
        <v>14</v>
      </c>
      <c r="I193" s="5" t="s">
        <v>15</v>
      </c>
      <c r="J193" s="5" t="s">
        <v>16</v>
      </c>
      <c r="K193" s="5" t="s">
        <v>17</v>
      </c>
      <c r="L193" s="5" t="s">
        <v>18</v>
      </c>
      <c r="M193" s="5" t="s">
        <v>19</v>
      </c>
      <c r="N193" s="5" t="s">
        <v>20</v>
      </c>
    </row>
    <row r="194" spans="1:14">
      <c r="A194" s="6" t="s">
        <v>138</v>
      </c>
      <c r="B194" s="6" t="s">
        <v>139</v>
      </c>
      <c r="C194" s="6"/>
      <c r="D194" s="6">
        <v>3605</v>
      </c>
      <c r="E194" s="6" t="s">
        <v>23</v>
      </c>
      <c r="F194" s="2" t="s">
        <v>24</v>
      </c>
      <c r="G194" s="2" t="s">
        <v>380</v>
      </c>
      <c r="H194" s="2" t="s">
        <v>26</v>
      </c>
      <c r="I194" s="2"/>
      <c r="J194" s="2">
        <v>1317684</v>
      </c>
      <c r="K194" s="2">
        <v>4403</v>
      </c>
      <c r="L194" s="2" t="s">
        <v>27</v>
      </c>
      <c r="M194" s="2" t="s">
        <v>28</v>
      </c>
      <c r="N194" s="2">
        <v>1234</v>
      </c>
    </row>
    <row r="195" spans="1:14">
      <c r="A195" s="6" t="s">
        <v>141</v>
      </c>
      <c r="B195" s="6" t="s">
        <v>142</v>
      </c>
      <c r="C195" s="6"/>
      <c r="D195" s="6">
        <v>3605</v>
      </c>
      <c r="E195" s="6" t="s">
        <v>23</v>
      </c>
      <c r="F195" s="2" t="s">
        <v>24</v>
      </c>
      <c r="G195" s="2" t="s">
        <v>381</v>
      </c>
      <c r="H195" s="2" t="s">
        <v>26</v>
      </c>
      <c r="I195" s="2"/>
      <c r="J195" s="2">
        <v>1317176</v>
      </c>
      <c r="K195" s="2">
        <v>4403</v>
      </c>
      <c r="L195" s="2" t="s">
        <v>27</v>
      </c>
      <c r="M195" s="2" t="s">
        <v>28</v>
      </c>
      <c r="N195" s="2">
        <v>12316</v>
      </c>
    </row>
    <row r="196" spans="1:14">
      <c r="A196" s="6" t="s">
        <v>144</v>
      </c>
      <c r="B196" s="6" t="s">
        <v>145</v>
      </c>
      <c r="C196" s="6"/>
      <c r="D196" s="6">
        <v>3605</v>
      </c>
      <c r="E196" s="6" t="s">
        <v>23</v>
      </c>
      <c r="F196" s="2" t="s">
        <v>24</v>
      </c>
      <c r="G196" s="2" t="s">
        <v>382</v>
      </c>
      <c r="H196" s="2" t="s">
        <v>26</v>
      </c>
      <c r="I196" s="2"/>
      <c r="J196" s="2">
        <v>1317828</v>
      </c>
      <c r="K196" s="2">
        <v>4403</v>
      </c>
      <c r="L196" s="2" t="s">
        <v>27</v>
      </c>
      <c r="M196" s="2" t="s">
        <v>28</v>
      </c>
      <c r="N196" s="2">
        <v>12317</v>
      </c>
    </row>
    <row r="197" spans="1:14">
      <c r="A197" s="6" t="s">
        <v>147</v>
      </c>
      <c r="B197" s="6" t="s">
        <v>148</v>
      </c>
      <c r="C197" s="6"/>
      <c r="D197" s="6">
        <v>3605</v>
      </c>
      <c r="E197" s="6" t="s">
        <v>23</v>
      </c>
      <c r="F197" s="2" t="s">
        <v>24</v>
      </c>
      <c r="G197" s="2" t="s">
        <v>383</v>
      </c>
      <c r="H197" s="2" t="s">
        <v>26</v>
      </c>
      <c r="I197" s="2"/>
      <c r="J197" s="2">
        <v>1316889</v>
      </c>
      <c r="K197" s="2">
        <v>4403</v>
      </c>
      <c r="L197" s="2" t="s">
        <v>27</v>
      </c>
      <c r="M197" s="2" t="s">
        <v>28</v>
      </c>
      <c r="N197" s="2">
        <v>1625</v>
      </c>
    </row>
    <row r="198" spans="1:14">
      <c r="A198" s="6" t="s">
        <v>150</v>
      </c>
      <c r="B198" s="6" t="s">
        <v>151</v>
      </c>
      <c r="C198" s="6"/>
      <c r="D198" s="6">
        <v>3605</v>
      </c>
      <c r="E198" s="6" t="s">
        <v>23</v>
      </c>
      <c r="F198" s="2" t="s">
        <v>24</v>
      </c>
      <c r="G198" s="2" t="s">
        <v>384</v>
      </c>
      <c r="H198" s="2" t="s">
        <v>26</v>
      </c>
      <c r="I198" s="2"/>
      <c r="J198" s="2">
        <v>1317033</v>
      </c>
      <c r="K198" s="2">
        <v>4403</v>
      </c>
      <c r="L198" s="2" t="s">
        <v>27</v>
      </c>
      <c r="M198" s="2" t="s">
        <v>28</v>
      </c>
      <c r="N198" s="2">
        <v>6680</v>
      </c>
    </row>
    <row r="199" spans="1:14">
      <c r="A199" s="6" t="s">
        <v>153</v>
      </c>
      <c r="B199" s="6" t="s">
        <v>154</v>
      </c>
      <c r="C199" s="6"/>
      <c r="D199" s="6">
        <v>3605</v>
      </c>
      <c r="E199" s="6" t="s">
        <v>23</v>
      </c>
      <c r="F199" s="2" t="s">
        <v>24</v>
      </c>
      <c r="G199" s="2" t="s">
        <v>385</v>
      </c>
      <c r="H199" s="2" t="s">
        <v>26</v>
      </c>
      <c r="I199" s="2"/>
      <c r="J199" s="2">
        <v>1316810</v>
      </c>
      <c r="K199" s="2">
        <v>4403</v>
      </c>
      <c r="L199" s="2" t="s">
        <v>27</v>
      </c>
      <c r="M199" s="2" t="s">
        <v>28</v>
      </c>
      <c r="N199" s="2">
        <v>12318</v>
      </c>
    </row>
    <row r="200" spans="1:14">
      <c r="A200" s="6" t="s">
        <v>156</v>
      </c>
      <c r="B200" s="6" t="s">
        <v>157</v>
      </c>
      <c r="C200" s="6"/>
      <c r="D200" s="6">
        <v>3605</v>
      </c>
      <c r="E200" s="6" t="s">
        <v>23</v>
      </c>
      <c r="F200" s="2" t="s">
        <v>24</v>
      </c>
      <c r="G200" s="2" t="s">
        <v>386</v>
      </c>
      <c r="H200" s="2" t="s">
        <v>26</v>
      </c>
      <c r="I200" s="2"/>
      <c r="J200" s="2">
        <v>1319412</v>
      </c>
      <c r="K200" s="2">
        <v>4403</v>
      </c>
      <c r="L200" s="2" t="s">
        <v>27</v>
      </c>
      <c r="M200" s="2" t="s">
        <v>28</v>
      </c>
      <c r="N200" s="2">
        <v>12319</v>
      </c>
    </row>
    <row r="201" spans="1:14">
      <c r="A201" s="6" t="s">
        <v>159</v>
      </c>
      <c r="B201" s="6" t="s">
        <v>160</v>
      </c>
      <c r="C201" s="6"/>
      <c r="D201" s="6">
        <v>3605</v>
      </c>
      <c r="E201" s="6" t="s">
        <v>23</v>
      </c>
      <c r="F201" s="2" t="s">
        <v>24</v>
      </c>
      <c r="G201" s="2" t="s">
        <v>387</v>
      </c>
      <c r="H201" s="2" t="s">
        <v>26</v>
      </c>
      <c r="I201" s="2"/>
      <c r="J201" s="2">
        <v>1316878</v>
      </c>
      <c r="K201" s="2">
        <v>4403</v>
      </c>
      <c r="L201" s="2" t="s">
        <v>27</v>
      </c>
      <c r="M201" s="2" t="s">
        <v>28</v>
      </c>
      <c r="N201" s="2">
        <v>3123</v>
      </c>
    </row>
    <row r="202" spans="1:14">
      <c r="A202" s="6" t="s">
        <v>165</v>
      </c>
      <c r="B202" s="6" t="s">
        <v>166</v>
      </c>
      <c r="C202" s="6"/>
      <c r="D202" s="6">
        <v>3605</v>
      </c>
      <c r="E202" s="6" t="s">
        <v>23</v>
      </c>
      <c r="F202" s="2" t="s">
        <v>24</v>
      </c>
      <c r="G202" s="2" t="s">
        <v>388</v>
      </c>
      <c r="H202" s="2" t="s">
        <v>26</v>
      </c>
      <c r="I202" s="2"/>
      <c r="J202" s="2">
        <v>1316812</v>
      </c>
      <c r="K202" s="2">
        <v>4403</v>
      </c>
      <c r="L202" s="2" t="s">
        <v>27</v>
      </c>
      <c r="M202" s="2" t="s">
        <v>28</v>
      </c>
      <c r="N202" s="2">
        <v>12320</v>
      </c>
    </row>
    <row r="203" spans="1:14">
      <c r="A203" s="6" t="s">
        <v>168</v>
      </c>
      <c r="B203" s="6" t="s">
        <v>169</v>
      </c>
      <c r="C203" s="6"/>
      <c r="D203" s="6">
        <v>3605</v>
      </c>
      <c r="E203" s="6" t="s">
        <v>23</v>
      </c>
      <c r="F203" s="2" t="s">
        <v>24</v>
      </c>
      <c r="G203" s="2" t="s">
        <v>389</v>
      </c>
      <c r="H203" s="2" t="s">
        <v>26</v>
      </c>
      <c r="I203" s="2"/>
      <c r="J203" s="2">
        <v>1321004</v>
      </c>
      <c r="K203" s="2">
        <v>4403</v>
      </c>
      <c r="L203" s="2" t="s">
        <v>27</v>
      </c>
      <c r="M203" s="2" t="s">
        <v>28</v>
      </c>
      <c r="N203" s="2">
        <v>12321</v>
      </c>
    </row>
    <row r="204" spans="1:14">
      <c r="A204" s="6" t="s">
        <v>171</v>
      </c>
      <c r="B204" s="6" t="s">
        <v>172</v>
      </c>
      <c r="C204" s="6"/>
      <c r="D204" s="6">
        <v>3605</v>
      </c>
      <c r="E204" s="6" t="s">
        <v>23</v>
      </c>
      <c r="F204" s="2" t="s">
        <v>24</v>
      </c>
      <c r="G204" s="2" t="s">
        <v>390</v>
      </c>
      <c r="H204" s="2" t="s">
        <v>26</v>
      </c>
      <c r="I204" s="2"/>
      <c r="J204" s="2">
        <v>1316862</v>
      </c>
      <c r="K204" s="2">
        <v>4403</v>
      </c>
      <c r="L204" s="2" t="s">
        <v>27</v>
      </c>
      <c r="M204" s="2" t="s">
        <v>28</v>
      </c>
      <c r="N204" s="2">
        <v>12322</v>
      </c>
    </row>
    <row r="205" spans="1:14">
      <c r="A205" s="6" t="s">
        <v>174</v>
      </c>
      <c r="B205" s="6" t="s">
        <v>175</v>
      </c>
      <c r="C205" s="6"/>
      <c r="D205" s="6">
        <v>3605</v>
      </c>
      <c r="E205" s="6" t="s">
        <v>23</v>
      </c>
      <c r="F205" s="2" t="s">
        <v>24</v>
      </c>
      <c r="G205" s="2" t="s">
        <v>391</v>
      </c>
      <c r="H205" s="2" t="s">
        <v>26</v>
      </c>
      <c r="I205" s="2"/>
      <c r="J205" s="2">
        <v>1317742</v>
      </c>
      <c r="K205" s="2">
        <v>4403</v>
      </c>
      <c r="L205" s="2" t="s">
        <v>27</v>
      </c>
      <c r="M205" s="2" t="s">
        <v>28</v>
      </c>
      <c r="N205" s="2">
        <v>12323</v>
      </c>
    </row>
    <row r="206" spans="1:14">
      <c r="A206" s="6" t="s">
        <v>177</v>
      </c>
      <c r="B206" s="6" t="s">
        <v>178</v>
      </c>
      <c r="C206" s="6"/>
      <c r="D206" s="6">
        <v>3605</v>
      </c>
      <c r="E206" s="6" t="s">
        <v>23</v>
      </c>
      <c r="F206" s="2" t="s">
        <v>24</v>
      </c>
      <c r="G206" s="2" t="s">
        <v>392</v>
      </c>
      <c r="H206" s="2" t="s">
        <v>26</v>
      </c>
      <c r="I206" s="2"/>
      <c r="J206" s="2">
        <v>1317089</v>
      </c>
      <c r="K206" s="2">
        <v>4403</v>
      </c>
      <c r="L206" s="2" t="s">
        <v>27</v>
      </c>
      <c r="M206" s="2" t="s">
        <v>28</v>
      </c>
      <c r="N206" s="2">
        <v>12324</v>
      </c>
    </row>
    <row r="207" spans="1:14">
      <c r="A207" s="6" t="s">
        <v>180</v>
      </c>
      <c r="B207" s="6" t="s">
        <v>181</v>
      </c>
      <c r="C207" s="6"/>
      <c r="D207" s="6">
        <v>3605</v>
      </c>
      <c r="E207" s="6" t="s">
        <v>23</v>
      </c>
      <c r="F207" s="2" t="s">
        <v>24</v>
      </c>
      <c r="G207" s="2" t="s">
        <v>393</v>
      </c>
      <c r="H207" s="2" t="s">
        <v>26</v>
      </c>
      <c r="I207" s="2"/>
      <c r="J207" s="2">
        <v>1317869</v>
      </c>
      <c r="K207" s="2">
        <v>4403</v>
      </c>
      <c r="L207" s="2" t="s">
        <v>27</v>
      </c>
      <c r="M207" s="2" t="s">
        <v>28</v>
      </c>
      <c r="N207" s="2">
        <v>12325</v>
      </c>
    </row>
    <row r="208" spans="1:14">
      <c r="A208" s="6" t="s">
        <v>183</v>
      </c>
      <c r="B208" s="6" t="s">
        <v>184</v>
      </c>
      <c r="C208" s="6"/>
      <c r="D208" s="6">
        <v>3605</v>
      </c>
      <c r="E208" s="6" t="s">
        <v>23</v>
      </c>
      <c r="F208" s="2" t="s">
        <v>24</v>
      </c>
      <c r="G208" s="2" t="s">
        <v>394</v>
      </c>
      <c r="H208" s="2" t="s">
        <v>26</v>
      </c>
      <c r="I208" s="2"/>
      <c r="J208" s="2">
        <v>1318264</v>
      </c>
      <c r="K208" s="2">
        <v>4403</v>
      </c>
      <c r="L208" s="2" t="s">
        <v>27</v>
      </c>
      <c r="M208" s="2" t="s">
        <v>28</v>
      </c>
      <c r="N208" s="2">
        <v>12326</v>
      </c>
    </row>
    <row r="209" spans="1:14">
      <c r="A209" s="6" t="s">
        <v>186</v>
      </c>
      <c r="B209" s="6" t="s">
        <v>187</v>
      </c>
      <c r="C209" s="6"/>
      <c r="D209" s="6">
        <v>3605</v>
      </c>
      <c r="E209" s="6" t="s">
        <v>23</v>
      </c>
      <c r="F209" s="2" t="s">
        <v>24</v>
      </c>
      <c r="G209" s="2" t="s">
        <v>395</v>
      </c>
      <c r="H209" s="2" t="s">
        <v>26</v>
      </c>
      <c r="I209" s="2"/>
      <c r="J209" s="2">
        <v>1316936</v>
      </c>
      <c r="K209" s="2">
        <v>4403</v>
      </c>
      <c r="L209" s="2" t="s">
        <v>27</v>
      </c>
      <c r="M209" s="2" t="s">
        <v>28</v>
      </c>
      <c r="N209" s="2">
        <v>1628</v>
      </c>
    </row>
    <row r="210" spans="1:14">
      <c r="A210" s="6" t="s">
        <v>189</v>
      </c>
      <c r="B210" s="6" t="s">
        <v>190</v>
      </c>
      <c r="C210" s="6"/>
      <c r="D210" s="6">
        <v>3605</v>
      </c>
      <c r="E210" s="6" t="s">
        <v>23</v>
      </c>
      <c r="F210" s="2" t="s">
        <v>24</v>
      </c>
      <c r="G210" s="2" t="s">
        <v>396</v>
      </c>
      <c r="H210" s="2" t="s">
        <v>26</v>
      </c>
      <c r="I210" s="2"/>
      <c r="J210" s="2">
        <v>1317248</v>
      </c>
      <c r="K210" s="2">
        <v>4403</v>
      </c>
      <c r="L210" s="2" t="s">
        <v>27</v>
      </c>
      <c r="M210" s="2" t="s">
        <v>28</v>
      </c>
      <c r="N210" s="2">
        <v>8433</v>
      </c>
    </row>
    <row r="211" spans="1:14">
      <c r="A211" s="6" t="s">
        <v>192</v>
      </c>
      <c r="B211" s="6" t="s">
        <v>193</v>
      </c>
      <c r="C211" s="6"/>
      <c r="D211" s="6">
        <v>3605</v>
      </c>
      <c r="E211" s="6" t="s">
        <v>23</v>
      </c>
      <c r="F211" s="2" t="s">
        <v>24</v>
      </c>
      <c r="G211" s="2" t="s">
        <v>397</v>
      </c>
      <c r="H211" s="2" t="s">
        <v>26</v>
      </c>
      <c r="I211" s="2"/>
      <c r="J211" s="2">
        <v>1318475</v>
      </c>
      <c r="K211" s="2">
        <v>4403</v>
      </c>
      <c r="L211" s="2" t="s">
        <v>27</v>
      </c>
      <c r="M211" s="2" t="s">
        <v>28</v>
      </c>
      <c r="N211" s="2">
        <v>43</v>
      </c>
    </row>
    <row r="212" spans="1:14">
      <c r="A212" s="6" t="s">
        <v>195</v>
      </c>
      <c r="B212" s="6" t="s">
        <v>196</v>
      </c>
      <c r="C212" s="6"/>
      <c r="D212" s="6">
        <v>3605</v>
      </c>
      <c r="E212" s="6" t="s">
        <v>23</v>
      </c>
      <c r="F212" s="2" t="s">
        <v>24</v>
      </c>
      <c r="G212" s="2" t="s">
        <v>398</v>
      </c>
      <c r="H212" s="2" t="s">
        <v>26</v>
      </c>
      <c r="I212" s="2"/>
      <c r="J212" s="2">
        <v>1319404</v>
      </c>
      <c r="K212" s="2">
        <v>4403</v>
      </c>
      <c r="L212" s="2" t="s">
        <v>27</v>
      </c>
      <c r="M212" s="2" t="s">
        <v>28</v>
      </c>
      <c r="N212" s="2">
        <v>12328</v>
      </c>
    </row>
    <row r="213" spans="1:14">
      <c r="A213" s="6" t="s">
        <v>198</v>
      </c>
      <c r="B213" s="6" t="s">
        <v>199</v>
      </c>
      <c r="C213" s="6"/>
      <c r="D213" s="6">
        <v>3605</v>
      </c>
      <c r="E213" s="6" t="s">
        <v>23</v>
      </c>
      <c r="F213" s="2" t="s">
        <v>24</v>
      </c>
      <c r="G213" s="2" t="s">
        <v>399</v>
      </c>
      <c r="H213" s="2" t="s">
        <v>26</v>
      </c>
      <c r="I213" s="2"/>
      <c r="J213" s="2">
        <v>1319022</v>
      </c>
      <c r="K213" s="2">
        <v>4403</v>
      </c>
      <c r="L213" s="2" t="s">
        <v>27</v>
      </c>
      <c r="M213" s="2" t="s">
        <v>28</v>
      </c>
      <c r="N213" s="2">
        <v>12329</v>
      </c>
    </row>
    <row r="214" spans="1:14">
      <c r="A214" s="6" t="s">
        <v>201</v>
      </c>
      <c r="B214" s="6" t="s">
        <v>202</v>
      </c>
      <c r="C214" s="6"/>
      <c r="D214" s="6">
        <v>3605</v>
      </c>
      <c r="E214" s="6" t="s">
        <v>23</v>
      </c>
      <c r="F214" s="2" t="s">
        <v>24</v>
      </c>
      <c r="G214" s="2" t="s">
        <v>400</v>
      </c>
      <c r="H214" s="2" t="s">
        <v>26</v>
      </c>
      <c r="I214" s="2"/>
      <c r="J214" s="2">
        <v>1316784</v>
      </c>
      <c r="K214" s="2">
        <v>4403</v>
      </c>
      <c r="L214" s="2" t="s">
        <v>27</v>
      </c>
      <c r="M214" s="2" t="s">
        <v>28</v>
      </c>
      <c r="N214" s="2">
        <v>1143</v>
      </c>
    </row>
    <row r="215" spans="1:14">
      <c r="A215" s="6" t="s">
        <v>205</v>
      </c>
      <c r="B215" s="6" t="s">
        <v>206</v>
      </c>
      <c r="C215" s="6"/>
      <c r="D215" s="6">
        <v>3605</v>
      </c>
      <c r="E215" s="6" t="s">
        <v>23</v>
      </c>
      <c r="F215" s="2" t="s">
        <v>24</v>
      </c>
      <c r="G215" s="2" t="s">
        <v>401</v>
      </c>
      <c r="H215" s="2" t="s">
        <v>26</v>
      </c>
      <c r="I215" s="2"/>
      <c r="J215" s="2">
        <v>1317419</v>
      </c>
      <c r="K215" s="2">
        <v>4403</v>
      </c>
      <c r="L215" s="2" t="s">
        <v>27</v>
      </c>
      <c r="M215" s="2" t="s">
        <v>28</v>
      </c>
      <c r="N215" s="2">
        <v>12330</v>
      </c>
    </row>
    <row r="216" spans="1:14">
      <c r="A216" s="6" t="s">
        <v>208</v>
      </c>
      <c r="B216" s="6" t="s">
        <v>209</v>
      </c>
      <c r="C216" s="6"/>
      <c r="D216" s="6">
        <v>3605</v>
      </c>
      <c r="E216" s="6" t="s">
        <v>23</v>
      </c>
      <c r="F216" s="2" t="s">
        <v>24</v>
      </c>
      <c r="G216" s="2" t="s">
        <v>402</v>
      </c>
      <c r="H216" s="2" t="s">
        <v>26</v>
      </c>
      <c r="I216" s="2"/>
      <c r="J216" s="2">
        <v>1317748</v>
      </c>
      <c r="K216" s="2">
        <v>4403</v>
      </c>
      <c r="L216" s="2" t="s">
        <v>27</v>
      </c>
      <c r="M216" s="2" t="s">
        <v>28</v>
      </c>
      <c r="N216" s="2">
        <v>12331</v>
      </c>
    </row>
    <row r="217" spans="1:14">
      <c r="A217" s="6" t="s">
        <v>211</v>
      </c>
      <c r="B217" s="6" t="s">
        <v>212</v>
      </c>
      <c r="C217" s="6"/>
      <c r="D217" s="6">
        <v>3605</v>
      </c>
      <c r="E217" s="6" t="s">
        <v>23</v>
      </c>
      <c r="F217" s="2" t="s">
        <v>24</v>
      </c>
      <c r="G217" s="2" t="s">
        <v>403</v>
      </c>
      <c r="H217" s="2" t="s">
        <v>26</v>
      </c>
      <c r="I217" s="2"/>
      <c r="J217" s="2">
        <v>1317075</v>
      </c>
      <c r="K217" s="2">
        <v>4403</v>
      </c>
      <c r="L217" s="2" t="s">
        <v>27</v>
      </c>
      <c r="M217" s="2" t="s">
        <v>28</v>
      </c>
      <c r="N217" s="2">
        <v>12332</v>
      </c>
    </row>
    <row r="218" spans="1:14">
      <c r="A218" s="6" t="s">
        <v>214</v>
      </c>
      <c r="B218" s="6" t="s">
        <v>215</v>
      </c>
      <c r="C218" s="6"/>
      <c r="D218" s="6">
        <v>3605</v>
      </c>
      <c r="E218" s="6" t="s">
        <v>23</v>
      </c>
      <c r="F218" s="2" t="s">
        <v>24</v>
      </c>
      <c r="G218" s="2" t="s">
        <v>404</v>
      </c>
      <c r="H218" s="2" t="s">
        <v>26</v>
      </c>
      <c r="I218" s="2"/>
      <c r="J218" s="2">
        <v>1316886</v>
      </c>
      <c r="K218" s="2">
        <v>4403</v>
      </c>
      <c r="L218" s="2" t="s">
        <v>27</v>
      </c>
      <c r="M218" s="2" t="s">
        <v>28</v>
      </c>
      <c r="N218" s="2">
        <v>12333</v>
      </c>
    </row>
    <row r="219" spans="1:14">
      <c r="A219" s="6" t="s">
        <v>217</v>
      </c>
      <c r="B219" s="6" t="s">
        <v>218</v>
      </c>
      <c r="C219" s="6"/>
      <c r="D219" s="6">
        <v>3605</v>
      </c>
      <c r="E219" s="6" t="s">
        <v>23</v>
      </c>
      <c r="F219" s="2" t="s">
        <v>24</v>
      </c>
      <c r="G219" s="2" t="s">
        <v>405</v>
      </c>
      <c r="H219" s="2" t="s">
        <v>26</v>
      </c>
      <c r="I219" s="2"/>
      <c r="J219" s="2">
        <v>1317036</v>
      </c>
      <c r="K219" s="2">
        <v>4403</v>
      </c>
      <c r="L219" s="2" t="s">
        <v>27</v>
      </c>
      <c r="M219" s="2" t="s">
        <v>28</v>
      </c>
      <c r="N219" s="2">
        <v>12334</v>
      </c>
    </row>
    <row r="220" spans="1:14">
      <c r="A220" s="6" t="s">
        <v>220</v>
      </c>
      <c r="B220" s="6" t="s">
        <v>221</v>
      </c>
      <c r="C220" s="6"/>
      <c r="D220" s="6">
        <v>3605</v>
      </c>
      <c r="E220" s="6" t="s">
        <v>23</v>
      </c>
      <c r="F220" s="2" t="s">
        <v>24</v>
      </c>
      <c r="G220" s="2" t="s">
        <v>406</v>
      </c>
      <c r="H220" s="2" t="s">
        <v>26</v>
      </c>
      <c r="I220" s="2"/>
      <c r="J220" s="2">
        <v>1316772</v>
      </c>
      <c r="K220" s="2">
        <v>4403</v>
      </c>
      <c r="L220" s="2" t="s">
        <v>27</v>
      </c>
      <c r="M220" s="2" t="s">
        <v>28</v>
      </c>
      <c r="N220" s="2">
        <v>12335</v>
      </c>
    </row>
    <row r="221" spans="1:14">
      <c r="A221" s="6" t="s">
        <v>223</v>
      </c>
      <c r="B221" s="6" t="s">
        <v>224</v>
      </c>
      <c r="C221" s="6"/>
      <c r="D221" s="6">
        <v>3605</v>
      </c>
      <c r="E221" s="6" t="s">
        <v>23</v>
      </c>
      <c r="F221" s="2" t="s">
        <v>24</v>
      </c>
      <c r="G221" s="2" t="s">
        <v>407</v>
      </c>
      <c r="H221" s="2" t="s">
        <v>26</v>
      </c>
      <c r="I221" s="2"/>
      <c r="J221" s="2">
        <v>1317046</v>
      </c>
      <c r="K221" s="2">
        <v>4403</v>
      </c>
      <c r="L221" s="2" t="s">
        <v>27</v>
      </c>
      <c r="M221" s="2" t="s">
        <v>28</v>
      </c>
      <c r="N221" s="2">
        <v>12337</v>
      </c>
    </row>
    <row r="222" spans="1:14">
      <c r="A222" s="6" t="s">
        <v>226</v>
      </c>
      <c r="B222" s="6" t="s">
        <v>227</v>
      </c>
      <c r="C222" s="6"/>
      <c r="D222" s="6">
        <v>3605</v>
      </c>
      <c r="E222" s="6" t="s">
        <v>23</v>
      </c>
      <c r="F222" s="2" t="s">
        <v>24</v>
      </c>
      <c r="G222" s="2" t="s">
        <v>408</v>
      </c>
      <c r="H222" s="2" t="s">
        <v>26</v>
      </c>
      <c r="I222" s="2"/>
      <c r="J222" s="2">
        <v>1316869</v>
      </c>
      <c r="K222" s="2">
        <v>4403</v>
      </c>
      <c r="L222" s="2" t="s">
        <v>27</v>
      </c>
      <c r="M222" s="2" t="s">
        <v>28</v>
      </c>
      <c r="N222" s="2">
        <v>12338</v>
      </c>
    </row>
    <row r="223" spans="1:14">
      <c r="A223" s="6" t="s">
        <v>229</v>
      </c>
      <c r="B223" s="6" t="s">
        <v>230</v>
      </c>
      <c r="C223" s="6"/>
      <c r="D223" s="6">
        <v>3605</v>
      </c>
      <c r="E223" s="6" t="s">
        <v>23</v>
      </c>
      <c r="F223" s="2" t="s">
        <v>24</v>
      </c>
      <c r="G223" s="2" t="s">
        <v>409</v>
      </c>
      <c r="H223" s="2" t="s">
        <v>26</v>
      </c>
      <c r="I223" s="2"/>
      <c r="J223" s="2">
        <v>1316983</v>
      </c>
      <c r="K223" s="2">
        <v>4403</v>
      </c>
      <c r="L223" s="2" t="s">
        <v>27</v>
      </c>
      <c r="M223" s="2" t="s">
        <v>28</v>
      </c>
      <c r="N223" s="2">
        <v>2629</v>
      </c>
    </row>
    <row r="224" spans="1:14">
      <c r="A224" s="6" t="s">
        <v>232</v>
      </c>
      <c r="B224" s="6" t="s">
        <v>233</v>
      </c>
      <c r="C224" s="6"/>
      <c r="D224" s="6">
        <v>3605</v>
      </c>
      <c r="E224" s="6" t="s">
        <v>23</v>
      </c>
      <c r="F224" s="2" t="s">
        <v>24</v>
      </c>
      <c r="G224" s="2" t="s">
        <v>410</v>
      </c>
      <c r="H224" s="2" t="s">
        <v>26</v>
      </c>
      <c r="I224" s="2"/>
      <c r="J224" s="2">
        <v>1316883</v>
      </c>
      <c r="K224" s="2">
        <v>4403</v>
      </c>
      <c r="L224" s="2" t="s">
        <v>27</v>
      </c>
      <c r="M224" s="2" t="s">
        <v>28</v>
      </c>
      <c r="N224" s="2">
        <v>12382</v>
      </c>
    </row>
    <row r="225" spans="1:14">
      <c r="A225" s="6" t="s">
        <v>235</v>
      </c>
      <c r="B225" s="6" t="s">
        <v>236</v>
      </c>
      <c r="C225" s="6"/>
      <c r="D225" s="6">
        <v>3605</v>
      </c>
      <c r="E225" s="6" t="s">
        <v>23</v>
      </c>
      <c r="F225" s="2" t="s">
        <v>24</v>
      </c>
      <c r="G225" s="2" t="s">
        <v>411</v>
      </c>
      <c r="H225" s="2" t="s">
        <v>26</v>
      </c>
      <c r="I225" s="2"/>
      <c r="J225" s="2">
        <v>1316988</v>
      </c>
      <c r="K225" s="2">
        <v>4403</v>
      </c>
      <c r="L225" s="2" t="s">
        <v>27</v>
      </c>
      <c r="M225" s="2" t="s">
        <v>28</v>
      </c>
      <c r="N225" s="2">
        <v>12339</v>
      </c>
    </row>
    <row r="226" spans="1:14">
      <c r="A226" s="6" t="s">
        <v>238</v>
      </c>
      <c r="B226" s="6" t="s">
        <v>239</v>
      </c>
      <c r="C226" s="6"/>
      <c r="D226" s="6">
        <v>3605</v>
      </c>
      <c r="E226" s="6" t="s">
        <v>23</v>
      </c>
      <c r="F226" s="2" t="s">
        <v>24</v>
      </c>
      <c r="G226" s="2" t="s">
        <v>412</v>
      </c>
      <c r="H226" s="2" t="s">
        <v>26</v>
      </c>
      <c r="I226" s="2"/>
      <c r="J226" s="2">
        <v>1317328</v>
      </c>
      <c r="K226" s="2">
        <v>4403</v>
      </c>
      <c r="L226" s="2" t="s">
        <v>27</v>
      </c>
      <c r="M226" s="2" t="s">
        <v>28</v>
      </c>
      <c r="N226" s="2">
        <v>12341</v>
      </c>
    </row>
    <row r="227" spans="1:14">
      <c r="A227" s="6" t="s">
        <v>241</v>
      </c>
      <c r="B227" s="6" t="s">
        <v>242</v>
      </c>
      <c r="C227" s="6"/>
      <c r="D227" s="6">
        <v>3605</v>
      </c>
      <c r="E227" s="6" t="s">
        <v>23</v>
      </c>
      <c r="F227" s="2" t="s">
        <v>24</v>
      </c>
      <c r="G227" s="2" t="s">
        <v>413</v>
      </c>
      <c r="H227" s="2" t="s">
        <v>26</v>
      </c>
      <c r="I227" s="2"/>
      <c r="J227" s="2">
        <v>1316873</v>
      </c>
      <c r="K227" s="2">
        <v>4403</v>
      </c>
      <c r="L227" s="2" t="s">
        <v>27</v>
      </c>
      <c r="M227" s="2" t="s">
        <v>28</v>
      </c>
      <c r="N227" s="2">
        <v>12345</v>
      </c>
    </row>
    <row r="228" spans="1:14">
      <c r="A228" s="6" t="s">
        <v>244</v>
      </c>
      <c r="B228" s="6" t="s">
        <v>245</v>
      </c>
      <c r="C228" s="6"/>
      <c r="D228" s="6">
        <v>3605</v>
      </c>
      <c r="E228" s="6" t="s">
        <v>23</v>
      </c>
      <c r="F228" s="2" t="s">
        <v>24</v>
      </c>
      <c r="G228" s="2" t="s">
        <v>414</v>
      </c>
      <c r="H228" s="2" t="s">
        <v>26</v>
      </c>
      <c r="I228" s="2"/>
      <c r="J228" s="2">
        <v>1317092</v>
      </c>
      <c r="K228" s="2">
        <v>4403</v>
      </c>
      <c r="L228" s="2" t="s">
        <v>27</v>
      </c>
      <c r="M228" s="2" t="s">
        <v>28</v>
      </c>
      <c r="N228" s="2">
        <v>12346</v>
      </c>
    </row>
    <row r="229" spans="1:14">
      <c r="A229" s="6" t="s">
        <v>247</v>
      </c>
      <c r="B229" s="6" t="s">
        <v>248</v>
      </c>
      <c r="C229" s="6"/>
      <c r="D229" s="6">
        <v>3605</v>
      </c>
      <c r="E229" s="6" t="s">
        <v>23</v>
      </c>
      <c r="F229" s="2" t="s">
        <v>24</v>
      </c>
      <c r="G229" s="2" t="s">
        <v>415</v>
      </c>
      <c r="H229" s="2" t="s">
        <v>26</v>
      </c>
      <c r="I229" s="2"/>
      <c r="J229" s="2">
        <v>1317549</v>
      </c>
      <c r="K229" s="2">
        <v>4403</v>
      </c>
      <c r="L229" s="2" t="s">
        <v>27</v>
      </c>
      <c r="M229" s="2" t="s">
        <v>28</v>
      </c>
      <c r="N229" s="2">
        <v>1633</v>
      </c>
    </row>
    <row r="230" spans="1:14">
      <c r="A230" s="6" t="s">
        <v>250</v>
      </c>
      <c r="B230" s="6" t="s">
        <v>251</v>
      </c>
      <c r="C230" s="6"/>
      <c r="D230" s="6">
        <v>3605</v>
      </c>
      <c r="E230" s="6" t="s">
        <v>23</v>
      </c>
      <c r="F230" s="2" t="s">
        <v>24</v>
      </c>
      <c r="G230" s="2" t="s">
        <v>416</v>
      </c>
      <c r="H230" s="2" t="s">
        <v>26</v>
      </c>
      <c r="I230" s="2"/>
      <c r="J230" s="2">
        <v>1316907</v>
      </c>
      <c r="K230" s="2">
        <v>4403</v>
      </c>
      <c r="L230" s="2" t="s">
        <v>27</v>
      </c>
      <c r="M230" s="2" t="s">
        <v>28</v>
      </c>
      <c r="N230" s="2">
        <v>12347</v>
      </c>
    </row>
    <row r="231" spans="1:14">
      <c r="A231" s="6" t="s">
        <v>253</v>
      </c>
      <c r="B231" s="6" t="s">
        <v>254</v>
      </c>
      <c r="C231" s="6"/>
      <c r="D231" s="6">
        <v>3605</v>
      </c>
      <c r="E231" s="6" t="s">
        <v>23</v>
      </c>
      <c r="F231" s="2" t="s">
        <v>24</v>
      </c>
      <c r="G231" s="2" t="s">
        <v>417</v>
      </c>
      <c r="H231" s="2" t="s">
        <v>26</v>
      </c>
      <c r="I231" s="2"/>
      <c r="J231" s="2">
        <v>1316783</v>
      </c>
      <c r="K231" s="2">
        <v>4403</v>
      </c>
      <c r="L231" s="2" t="s">
        <v>27</v>
      </c>
      <c r="M231" s="2" t="s">
        <v>28</v>
      </c>
      <c r="N231" s="2">
        <v>12348</v>
      </c>
    </row>
    <row r="232" spans="1:14">
      <c r="A232" s="6" t="s">
        <v>256</v>
      </c>
      <c r="B232" s="6" t="s">
        <v>257</v>
      </c>
      <c r="C232" s="6"/>
      <c r="D232" s="6">
        <v>3605</v>
      </c>
      <c r="E232" s="6" t="s">
        <v>23</v>
      </c>
      <c r="F232" s="2" t="s">
        <v>24</v>
      </c>
      <c r="G232" s="2" t="s">
        <v>418</v>
      </c>
      <c r="H232" s="2" t="s">
        <v>26</v>
      </c>
      <c r="I232" s="2"/>
      <c r="J232" s="2">
        <v>1317187</v>
      </c>
      <c r="K232" s="2">
        <v>4403</v>
      </c>
      <c r="L232" s="2" t="s">
        <v>27</v>
      </c>
      <c r="M232" s="2" t="s">
        <v>28</v>
      </c>
      <c r="N232" s="2">
        <v>12349</v>
      </c>
    </row>
    <row r="233" spans="1:14">
      <c r="A233" s="6" t="s">
        <v>259</v>
      </c>
      <c r="B233" s="6" t="s">
        <v>260</v>
      </c>
      <c r="C233" s="6"/>
      <c r="D233" s="6">
        <v>3605</v>
      </c>
      <c r="E233" s="6" t="s">
        <v>23</v>
      </c>
      <c r="F233" s="2" t="s">
        <v>24</v>
      </c>
      <c r="G233" s="2" t="s">
        <v>419</v>
      </c>
      <c r="H233" s="2" t="s">
        <v>26</v>
      </c>
      <c r="I233" s="2"/>
      <c r="J233" s="2">
        <v>1317143</v>
      </c>
      <c r="K233" s="2">
        <v>4403</v>
      </c>
      <c r="L233" s="2" t="s">
        <v>27</v>
      </c>
      <c r="M233" s="2" t="s">
        <v>28</v>
      </c>
      <c r="N233" s="2">
        <v>12350</v>
      </c>
    </row>
    <row r="234" spans="1:14">
      <c r="A234" s="6" t="s">
        <v>262</v>
      </c>
      <c r="B234" s="6" t="s">
        <v>263</v>
      </c>
      <c r="C234" s="6"/>
      <c r="D234" s="6">
        <v>3605</v>
      </c>
      <c r="E234" s="6" t="s">
        <v>23</v>
      </c>
      <c r="F234" s="2" t="s">
        <v>24</v>
      </c>
      <c r="G234" s="2" t="s">
        <v>420</v>
      </c>
      <c r="H234" s="2" t="s">
        <v>26</v>
      </c>
      <c r="I234" s="2"/>
      <c r="J234" s="2">
        <v>1319626</v>
      </c>
      <c r="K234" s="2">
        <v>4403</v>
      </c>
      <c r="L234" s="2" t="s">
        <v>27</v>
      </c>
      <c r="M234" s="2" t="s">
        <v>28</v>
      </c>
      <c r="N234" s="2">
        <v>12351</v>
      </c>
    </row>
    <row r="235" spans="1:14">
      <c r="A235" s="6" t="s">
        <v>265</v>
      </c>
      <c r="B235" s="6" t="s">
        <v>266</v>
      </c>
      <c r="C235" s="6"/>
      <c r="D235" s="6">
        <v>3605</v>
      </c>
      <c r="E235" s="6" t="s">
        <v>23</v>
      </c>
      <c r="F235" s="2" t="s">
        <v>24</v>
      </c>
      <c r="G235" s="2" t="s">
        <v>421</v>
      </c>
      <c r="H235" s="2" t="s">
        <v>26</v>
      </c>
      <c r="I235" s="2"/>
      <c r="J235" s="2">
        <v>1317060</v>
      </c>
      <c r="K235" s="2">
        <v>4403</v>
      </c>
      <c r="L235" s="2" t="s">
        <v>27</v>
      </c>
      <c r="M235" s="2" t="s">
        <v>28</v>
      </c>
      <c r="N235" s="2">
        <v>12352</v>
      </c>
    </row>
    <row r="236" spans="1:14">
      <c r="A236" s="6" t="s">
        <v>268</v>
      </c>
      <c r="B236" s="6" t="s">
        <v>269</v>
      </c>
      <c r="C236" s="6"/>
      <c r="D236" s="6">
        <v>3605</v>
      </c>
      <c r="E236" s="6" t="s">
        <v>23</v>
      </c>
      <c r="F236" s="2" t="s">
        <v>24</v>
      </c>
      <c r="G236" s="2" t="s">
        <v>422</v>
      </c>
      <c r="H236" s="2" t="s">
        <v>26</v>
      </c>
      <c r="I236" s="2"/>
      <c r="J236" s="2">
        <v>1319589</v>
      </c>
      <c r="K236" s="2">
        <v>4403</v>
      </c>
      <c r="L236" s="2" t="s">
        <v>27</v>
      </c>
      <c r="M236" s="2" t="s">
        <v>28</v>
      </c>
      <c r="N236" s="2">
        <v>12353</v>
      </c>
    </row>
    <row r="237" spans="1:14">
      <c r="A237" s="7" t="s">
        <v>98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>
        <f>ROWS(A194:N236)</f>
        <v>43</v>
      </c>
    </row>
    <row r="238" spans="1:14">
      <c r="A238" s="7" t="s">
        <v>98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>
        <f>ROWS(A194:N236)</f>
        <v>43</v>
      </c>
    </row>
    <row r="239" spans="1:14" customHeight="1" ht="20">
      <c r="A239" s="4" t="s">
        <v>423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customHeight="1" ht="20">
      <c r="A240" s="4" t="s">
        <v>6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13</v>
      </c>
      <c r="H241" s="5" t="s">
        <v>14</v>
      </c>
      <c r="I241" s="5" t="s">
        <v>15</v>
      </c>
      <c r="J241" s="5" t="s">
        <v>16</v>
      </c>
      <c r="K241" s="5" t="s">
        <v>17</v>
      </c>
      <c r="L241" s="5" t="s">
        <v>18</v>
      </c>
      <c r="M241" s="5" t="s">
        <v>19</v>
      </c>
      <c r="N241" s="5" t="s">
        <v>20</v>
      </c>
    </row>
    <row r="242" spans="1:14">
      <c r="A242" s="6" t="s">
        <v>21</v>
      </c>
      <c r="B242" s="6" t="s">
        <v>22</v>
      </c>
      <c r="C242" s="6"/>
      <c r="D242" s="6">
        <v>3621</v>
      </c>
      <c r="E242" s="6" t="s">
        <v>23</v>
      </c>
      <c r="F242" s="2" t="s">
        <v>24</v>
      </c>
      <c r="G242" s="2" t="s">
        <v>424</v>
      </c>
      <c r="H242" s="2" t="s">
        <v>26</v>
      </c>
      <c r="I242" s="2"/>
      <c r="J242" s="2">
        <v>1319611</v>
      </c>
      <c r="K242" s="2">
        <v>4408</v>
      </c>
      <c r="L242" s="2" t="s">
        <v>27</v>
      </c>
      <c r="M242" s="2" t="s">
        <v>28</v>
      </c>
      <c r="N242" s="2">
        <v>10401</v>
      </c>
    </row>
    <row r="243" spans="1:14">
      <c r="A243" s="6" t="s">
        <v>32</v>
      </c>
      <c r="B243" s="6" t="s">
        <v>33</v>
      </c>
      <c r="C243" s="6"/>
      <c r="D243" s="6">
        <v>3621</v>
      </c>
      <c r="E243" s="6" t="s">
        <v>23</v>
      </c>
      <c r="F243" s="2" t="s">
        <v>24</v>
      </c>
      <c r="G243" s="2" t="s">
        <v>425</v>
      </c>
      <c r="H243" s="2" t="s">
        <v>26</v>
      </c>
      <c r="I243" s="2"/>
      <c r="J243" s="2">
        <v>1318928</v>
      </c>
      <c r="K243" s="2">
        <v>4408</v>
      </c>
      <c r="L243" s="2" t="s">
        <v>27</v>
      </c>
      <c r="M243" s="2" t="s">
        <v>28</v>
      </c>
      <c r="N243" s="2">
        <v>10403</v>
      </c>
    </row>
    <row r="244" spans="1:14">
      <c r="A244" s="6" t="s">
        <v>41</v>
      </c>
      <c r="B244" s="6" t="s">
        <v>42</v>
      </c>
      <c r="C244" s="6"/>
      <c r="D244" s="6">
        <v>3621</v>
      </c>
      <c r="E244" s="6" t="s">
        <v>23</v>
      </c>
      <c r="F244" s="2" t="s">
        <v>24</v>
      </c>
      <c r="G244" s="2" t="s">
        <v>426</v>
      </c>
      <c r="H244" s="2" t="s">
        <v>26</v>
      </c>
      <c r="I244" s="2"/>
      <c r="J244" s="2">
        <v>1316843</v>
      </c>
      <c r="K244" s="2">
        <v>4408</v>
      </c>
      <c r="L244" s="2" t="s">
        <v>27</v>
      </c>
      <c r="M244" s="2" t="s">
        <v>28</v>
      </c>
      <c r="N244" s="2">
        <v>10405</v>
      </c>
    </row>
    <row r="245" spans="1:14">
      <c r="A245" s="6" t="s">
        <v>44</v>
      </c>
      <c r="B245" s="6" t="s">
        <v>45</v>
      </c>
      <c r="C245" s="6"/>
      <c r="D245" s="6">
        <v>3621</v>
      </c>
      <c r="E245" s="6" t="s">
        <v>23</v>
      </c>
      <c r="F245" s="2" t="s">
        <v>24</v>
      </c>
      <c r="G245" s="2" t="s">
        <v>427</v>
      </c>
      <c r="H245" s="2" t="s">
        <v>26</v>
      </c>
      <c r="I245" s="2"/>
      <c r="J245" s="2">
        <v>1318936</v>
      </c>
      <c r="K245" s="2">
        <v>4408</v>
      </c>
      <c r="L245" s="2" t="s">
        <v>27</v>
      </c>
      <c r="M245" s="2" t="s">
        <v>28</v>
      </c>
      <c r="N245" s="2">
        <v>10407</v>
      </c>
    </row>
    <row r="246" spans="1:14">
      <c r="A246" s="6" t="s">
        <v>50</v>
      </c>
      <c r="B246" s="6" t="s">
        <v>51</v>
      </c>
      <c r="C246" s="6"/>
      <c r="D246" s="6">
        <v>3621</v>
      </c>
      <c r="E246" s="6" t="s">
        <v>23</v>
      </c>
      <c r="F246" s="2" t="s">
        <v>24</v>
      </c>
      <c r="G246" s="2" t="s">
        <v>428</v>
      </c>
      <c r="H246" s="2" t="s">
        <v>26</v>
      </c>
      <c r="I246" s="2"/>
      <c r="J246" s="2">
        <v>1318941</v>
      </c>
      <c r="K246" s="2">
        <v>4408</v>
      </c>
      <c r="L246" s="2" t="s">
        <v>27</v>
      </c>
      <c r="M246" s="2" t="s">
        <v>28</v>
      </c>
      <c r="N246" s="2">
        <v>10411</v>
      </c>
    </row>
    <row r="247" spans="1:14">
      <c r="A247" s="6" t="s">
        <v>53</v>
      </c>
      <c r="B247" s="6" t="s">
        <v>54</v>
      </c>
      <c r="C247" s="6"/>
      <c r="D247" s="6">
        <v>3621</v>
      </c>
      <c r="E247" s="6" t="s">
        <v>23</v>
      </c>
      <c r="F247" s="2" t="s">
        <v>24</v>
      </c>
      <c r="G247" s="2" t="s">
        <v>429</v>
      </c>
      <c r="H247" s="2" t="s">
        <v>26</v>
      </c>
      <c r="I247" s="2"/>
      <c r="J247" s="2">
        <v>1323110</v>
      </c>
      <c r="K247" s="2">
        <v>4408</v>
      </c>
      <c r="L247" s="2" t="s">
        <v>27</v>
      </c>
      <c r="M247" s="2" t="s">
        <v>28</v>
      </c>
      <c r="N247" s="2">
        <v>10412</v>
      </c>
    </row>
    <row r="248" spans="1:14">
      <c r="A248" s="6" t="s">
        <v>68</v>
      </c>
      <c r="B248" s="6" t="s">
        <v>69</v>
      </c>
      <c r="C248" s="6"/>
      <c r="D248" s="6">
        <v>3621</v>
      </c>
      <c r="E248" s="6" t="s">
        <v>23</v>
      </c>
      <c r="F248" s="2" t="s">
        <v>24</v>
      </c>
      <c r="G248" s="2" t="s">
        <v>430</v>
      </c>
      <c r="H248" s="2" t="s">
        <v>26</v>
      </c>
      <c r="I248" s="2"/>
      <c r="J248" s="2">
        <v>1317283</v>
      </c>
      <c r="K248" s="2">
        <v>4408</v>
      </c>
      <c r="L248" s="2" t="s">
        <v>27</v>
      </c>
      <c r="M248" s="2" t="s">
        <v>28</v>
      </c>
      <c r="N248" s="2">
        <v>8468</v>
      </c>
    </row>
    <row r="249" spans="1:14">
      <c r="A249" s="6" t="s">
        <v>71</v>
      </c>
      <c r="B249" s="6" t="s">
        <v>72</v>
      </c>
      <c r="C249" s="6"/>
      <c r="D249" s="6">
        <v>3621</v>
      </c>
      <c r="E249" s="6" t="s">
        <v>23</v>
      </c>
      <c r="F249" s="2" t="s">
        <v>24</v>
      </c>
      <c r="G249" s="2" t="s">
        <v>431</v>
      </c>
      <c r="H249" s="2" t="s">
        <v>26</v>
      </c>
      <c r="I249" s="2"/>
      <c r="J249" s="2">
        <v>1316809</v>
      </c>
      <c r="K249" s="2">
        <v>4408</v>
      </c>
      <c r="L249" s="2" t="s">
        <v>27</v>
      </c>
      <c r="M249" s="2" t="s">
        <v>28</v>
      </c>
      <c r="N249" s="2">
        <v>4578</v>
      </c>
    </row>
    <row r="250" spans="1:14">
      <c r="A250" s="6" t="s">
        <v>77</v>
      </c>
      <c r="B250" s="6" t="s">
        <v>78</v>
      </c>
      <c r="C250" s="6"/>
      <c r="D250" s="6">
        <v>3621</v>
      </c>
      <c r="E250" s="6" t="s">
        <v>23</v>
      </c>
      <c r="F250" s="2" t="s">
        <v>24</v>
      </c>
      <c r="G250" s="2" t="s">
        <v>432</v>
      </c>
      <c r="H250" s="2" t="s">
        <v>26</v>
      </c>
      <c r="I250" s="2"/>
      <c r="J250" s="2">
        <v>1389641</v>
      </c>
      <c r="K250" s="2">
        <v>4408</v>
      </c>
      <c r="L250" s="2" t="s">
        <v>27</v>
      </c>
      <c r="M250" s="2" t="s">
        <v>28</v>
      </c>
      <c r="N250" s="2">
        <v>10420</v>
      </c>
    </row>
    <row r="251" spans="1:14">
      <c r="A251" s="6" t="s">
        <v>83</v>
      </c>
      <c r="B251" s="6" t="s">
        <v>84</v>
      </c>
      <c r="C251" s="6"/>
      <c r="D251" s="6">
        <v>3621</v>
      </c>
      <c r="E251" s="6" t="s">
        <v>23</v>
      </c>
      <c r="F251" s="2" t="s">
        <v>24</v>
      </c>
      <c r="G251" s="2" t="s">
        <v>433</v>
      </c>
      <c r="H251" s="2" t="s">
        <v>26</v>
      </c>
      <c r="I251" s="2"/>
      <c r="J251" s="2">
        <v>1319378</v>
      </c>
      <c r="K251" s="2">
        <v>4408</v>
      </c>
      <c r="L251" s="2" t="s">
        <v>27</v>
      </c>
      <c r="M251" s="2" t="s">
        <v>28</v>
      </c>
      <c r="N251" s="2">
        <v>10422</v>
      </c>
    </row>
    <row r="252" spans="1:14">
      <c r="A252" s="6" t="s">
        <v>86</v>
      </c>
      <c r="B252" s="6" t="s">
        <v>87</v>
      </c>
      <c r="C252" s="6"/>
      <c r="D252" s="6">
        <v>3621</v>
      </c>
      <c r="E252" s="6" t="s">
        <v>23</v>
      </c>
      <c r="F252" s="2" t="s">
        <v>24</v>
      </c>
      <c r="G252" s="2" t="s">
        <v>434</v>
      </c>
      <c r="H252" s="2" t="s">
        <v>26</v>
      </c>
      <c r="I252" s="2"/>
      <c r="J252" s="2">
        <v>1317372</v>
      </c>
      <c r="K252" s="2">
        <v>4408</v>
      </c>
      <c r="L252" s="2" t="s">
        <v>27</v>
      </c>
      <c r="M252" s="2" t="s">
        <v>28</v>
      </c>
      <c r="N252" s="2">
        <v>10423</v>
      </c>
    </row>
    <row r="253" spans="1:14">
      <c r="A253" s="6" t="s">
        <v>89</v>
      </c>
      <c r="B253" s="6" t="s">
        <v>90</v>
      </c>
      <c r="C253" s="6"/>
      <c r="D253" s="6">
        <v>3621</v>
      </c>
      <c r="E253" s="6" t="s">
        <v>23</v>
      </c>
      <c r="F253" s="2" t="s">
        <v>24</v>
      </c>
      <c r="G253" s="2" t="s">
        <v>435</v>
      </c>
      <c r="H253" s="2" t="s">
        <v>26</v>
      </c>
      <c r="I253" s="2"/>
      <c r="J253" s="2">
        <v>1317042</v>
      </c>
      <c r="K253" s="2">
        <v>4408</v>
      </c>
      <c r="L253" s="2" t="s">
        <v>27</v>
      </c>
      <c r="M253" s="2" t="s">
        <v>28</v>
      </c>
      <c r="N253" s="2">
        <v>10424</v>
      </c>
    </row>
    <row r="254" spans="1:14">
      <c r="A254" s="6" t="s">
        <v>92</v>
      </c>
      <c r="B254" s="6" t="s">
        <v>93</v>
      </c>
      <c r="C254" s="6"/>
      <c r="D254" s="6">
        <v>3621</v>
      </c>
      <c r="E254" s="6" t="s">
        <v>23</v>
      </c>
      <c r="F254" s="2" t="s">
        <v>24</v>
      </c>
      <c r="G254" s="2" t="s">
        <v>436</v>
      </c>
      <c r="H254" s="2" t="s">
        <v>26</v>
      </c>
      <c r="I254" s="2"/>
      <c r="J254" s="2">
        <v>1319593</v>
      </c>
      <c r="K254" s="2">
        <v>4408</v>
      </c>
      <c r="L254" s="2" t="s">
        <v>27</v>
      </c>
      <c r="M254" s="2" t="s">
        <v>28</v>
      </c>
      <c r="N254" s="2">
        <v>10425</v>
      </c>
    </row>
    <row r="255" spans="1:14">
      <c r="A255" s="6" t="s">
        <v>95</v>
      </c>
      <c r="B255" s="6" t="s">
        <v>96</v>
      </c>
      <c r="C255" s="6"/>
      <c r="D255" s="6">
        <v>3621</v>
      </c>
      <c r="E255" s="6" t="s">
        <v>23</v>
      </c>
      <c r="F255" s="2" t="s">
        <v>24</v>
      </c>
      <c r="G255" s="2" t="s">
        <v>437</v>
      </c>
      <c r="H255" s="2" t="s">
        <v>26</v>
      </c>
      <c r="I255" s="2"/>
      <c r="J255" s="2">
        <v>1317583</v>
      </c>
      <c r="K255" s="2">
        <v>4408</v>
      </c>
      <c r="L255" s="2" t="s">
        <v>27</v>
      </c>
      <c r="M255" s="2" t="s">
        <v>28</v>
      </c>
      <c r="N255" s="2">
        <v>10426</v>
      </c>
    </row>
    <row r="256" spans="1:14">
      <c r="A256" s="7" t="s">
        <v>98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>
        <f>ROWS(A242:N255)</f>
        <v>14</v>
      </c>
    </row>
    <row r="257" spans="1:14">
      <c r="A257" s="7" t="s">
        <v>98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>
        <f>ROWS(A242:N255)</f>
        <v>14</v>
      </c>
    </row>
    <row r="258" spans="1:14" customHeight="1" ht="20">
      <c r="A258" s="4" t="s">
        <v>438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customHeight="1" ht="20">
      <c r="A259" s="4" t="s">
        <v>439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5" t="s">
        <v>7</v>
      </c>
      <c r="B260" s="5" t="s">
        <v>8</v>
      </c>
      <c r="C260" s="5" t="s">
        <v>9</v>
      </c>
      <c r="D260" s="5" t="s">
        <v>10</v>
      </c>
      <c r="E260" s="5" t="s">
        <v>11</v>
      </c>
      <c r="F260" s="5" t="s">
        <v>12</v>
      </c>
      <c r="G260" s="5" t="s">
        <v>13</v>
      </c>
      <c r="H260" s="5" t="s">
        <v>14</v>
      </c>
      <c r="I260" s="5" t="s">
        <v>15</v>
      </c>
      <c r="J260" s="5" t="s">
        <v>16</v>
      </c>
      <c r="K260" s="5" t="s">
        <v>17</v>
      </c>
      <c r="L260" s="5" t="s">
        <v>18</v>
      </c>
      <c r="M260" s="5" t="s">
        <v>19</v>
      </c>
      <c r="N260" s="5" t="s">
        <v>20</v>
      </c>
    </row>
    <row r="261" spans="1:14">
      <c r="A261" s="6" t="s">
        <v>440</v>
      </c>
      <c r="B261" s="6" t="s">
        <v>441</v>
      </c>
      <c r="C261" s="6"/>
      <c r="D261" s="6">
        <v>948</v>
      </c>
      <c r="E261" s="6" t="s">
        <v>23</v>
      </c>
      <c r="F261" s="2" t="s">
        <v>24</v>
      </c>
      <c r="G261" s="2" t="s">
        <v>442</v>
      </c>
      <c r="H261" s="2" t="s">
        <v>26</v>
      </c>
      <c r="I261" s="2"/>
      <c r="J261" s="2">
        <v>1318835</v>
      </c>
      <c r="K261" s="2">
        <v>4394</v>
      </c>
      <c r="L261" s="2" t="s">
        <v>27</v>
      </c>
      <c r="M261" s="2" t="s">
        <v>28</v>
      </c>
      <c r="N261" s="2">
        <v>1910</v>
      </c>
    </row>
    <row r="262" spans="1:14">
      <c r="A262" s="6" t="s">
        <v>443</v>
      </c>
      <c r="B262" s="6" t="s">
        <v>444</v>
      </c>
      <c r="C262" s="6"/>
      <c r="D262" s="6">
        <v>948</v>
      </c>
      <c r="E262" s="6" t="s">
        <v>23</v>
      </c>
      <c r="F262" s="2" t="s">
        <v>24</v>
      </c>
      <c r="G262" s="2" t="s">
        <v>445</v>
      </c>
      <c r="H262" s="2" t="s">
        <v>26</v>
      </c>
      <c r="I262" s="2"/>
      <c r="J262" s="2">
        <v>1318775</v>
      </c>
      <c r="K262" s="2">
        <v>4394</v>
      </c>
      <c r="L262" s="2" t="s">
        <v>27</v>
      </c>
      <c r="M262" s="2" t="s">
        <v>28</v>
      </c>
      <c r="N262" s="2">
        <v>10473</v>
      </c>
    </row>
    <row r="263" spans="1:14">
      <c r="A263" s="7" t="s">
        <v>98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>
        <f>ROWS(A261:N262)</f>
        <v>2</v>
      </c>
    </row>
    <row r="264" spans="1:14" customHeight="1" ht="20">
      <c r="A264" s="4" t="s">
        <v>100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13</v>
      </c>
      <c r="H265" s="5" t="s">
        <v>14</v>
      </c>
      <c r="I265" s="5" t="s">
        <v>15</v>
      </c>
      <c r="J265" s="5" t="s">
        <v>16</v>
      </c>
      <c r="K265" s="5" t="s">
        <v>17</v>
      </c>
      <c r="L265" s="5" t="s">
        <v>18</v>
      </c>
      <c r="M265" s="5" t="s">
        <v>19</v>
      </c>
      <c r="N265" s="5" t="s">
        <v>20</v>
      </c>
    </row>
    <row r="266" spans="1:14">
      <c r="A266" s="6" t="s">
        <v>101</v>
      </c>
      <c r="B266" s="6" t="s">
        <v>102</v>
      </c>
      <c r="C266" s="6"/>
      <c r="D266" s="6">
        <v>948</v>
      </c>
      <c r="E266" s="6" t="s">
        <v>23</v>
      </c>
      <c r="F266" s="2" t="s">
        <v>24</v>
      </c>
      <c r="G266" s="2" t="s">
        <v>446</v>
      </c>
      <c r="H266" s="2" t="s">
        <v>26</v>
      </c>
      <c r="I266" s="2"/>
      <c r="J266" s="2">
        <v>1318524</v>
      </c>
      <c r="K266" s="2">
        <v>4394</v>
      </c>
      <c r="L266" s="2" t="s">
        <v>27</v>
      </c>
      <c r="M266" s="2" t="s">
        <v>28</v>
      </c>
      <c r="N266" s="2">
        <v>6618</v>
      </c>
    </row>
    <row r="267" spans="1:14">
      <c r="A267" s="7" t="s">
        <v>98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>
        <f>ROWS(A266:N266)</f>
        <v>1</v>
      </c>
    </row>
    <row r="268" spans="1:14">
      <c r="A268" s="7" t="s">
        <v>98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>
        <f>ROWS(A261:N262) + ROWS(A266:N266)</f>
        <v>3</v>
      </c>
    </row>
    <row r="269" spans="1:14" customHeight="1" ht="20">
      <c r="A269" s="4" t="s">
        <v>447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customHeight="1" ht="20">
      <c r="A270" s="4" t="s">
        <v>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13</v>
      </c>
      <c r="H271" s="5" t="s">
        <v>14</v>
      </c>
      <c r="I271" s="5" t="s">
        <v>15</v>
      </c>
      <c r="J271" s="5" t="s">
        <v>16</v>
      </c>
      <c r="K271" s="5" t="s">
        <v>17</v>
      </c>
      <c r="L271" s="5" t="s">
        <v>18</v>
      </c>
      <c r="M271" s="5" t="s">
        <v>19</v>
      </c>
      <c r="N271" s="5" t="s">
        <v>20</v>
      </c>
    </row>
    <row r="272" spans="1:14">
      <c r="A272" s="6" t="s">
        <v>21</v>
      </c>
      <c r="B272" s="6" t="s">
        <v>22</v>
      </c>
      <c r="C272" s="6"/>
      <c r="D272" s="6">
        <v>3622</v>
      </c>
      <c r="E272" s="6" t="s">
        <v>23</v>
      </c>
      <c r="F272" s="2" t="s">
        <v>24</v>
      </c>
      <c r="G272" s="2" t="s">
        <v>448</v>
      </c>
      <c r="H272" s="2" t="s">
        <v>26</v>
      </c>
      <c r="I272" s="2"/>
      <c r="J272" s="2">
        <v>1319602</v>
      </c>
      <c r="K272" s="2">
        <v>4409</v>
      </c>
      <c r="L272" s="2" t="s">
        <v>27</v>
      </c>
      <c r="M272" s="2" t="s">
        <v>28</v>
      </c>
      <c r="N272" s="2">
        <v>10401</v>
      </c>
    </row>
    <row r="273" spans="1:14">
      <c r="A273" s="6" t="s">
        <v>29</v>
      </c>
      <c r="B273" s="6" t="s">
        <v>30</v>
      </c>
      <c r="C273" s="6"/>
      <c r="D273" s="6">
        <v>3622</v>
      </c>
      <c r="E273" s="6" t="s">
        <v>23</v>
      </c>
      <c r="F273" s="2" t="s">
        <v>24</v>
      </c>
      <c r="G273" s="2" t="s">
        <v>449</v>
      </c>
      <c r="H273" s="2" t="s">
        <v>26</v>
      </c>
      <c r="I273" s="2"/>
      <c r="J273" s="2">
        <v>1317600</v>
      </c>
      <c r="K273" s="2">
        <v>4409</v>
      </c>
      <c r="L273" s="2" t="s">
        <v>27</v>
      </c>
      <c r="M273" s="2" t="s">
        <v>28</v>
      </c>
      <c r="N273" s="2">
        <v>10402</v>
      </c>
    </row>
    <row r="274" spans="1:14">
      <c r="A274" s="6" t="s">
        <v>32</v>
      </c>
      <c r="B274" s="6" t="s">
        <v>33</v>
      </c>
      <c r="C274" s="6"/>
      <c r="D274" s="6">
        <v>3622</v>
      </c>
      <c r="E274" s="6" t="s">
        <v>23</v>
      </c>
      <c r="F274" s="2" t="s">
        <v>24</v>
      </c>
      <c r="G274" s="2" t="s">
        <v>450</v>
      </c>
      <c r="H274" s="2" t="s">
        <v>26</v>
      </c>
      <c r="I274" s="2"/>
      <c r="J274" s="2">
        <v>1318930</v>
      </c>
      <c r="K274" s="2">
        <v>4409</v>
      </c>
      <c r="L274" s="2" t="s">
        <v>27</v>
      </c>
      <c r="M274" s="2" t="s">
        <v>28</v>
      </c>
      <c r="N274" s="2">
        <v>10403</v>
      </c>
    </row>
    <row r="275" spans="1:14">
      <c r="A275" s="6" t="s">
        <v>35</v>
      </c>
      <c r="B275" s="6" t="s">
        <v>36</v>
      </c>
      <c r="C275" s="6"/>
      <c r="D275" s="6">
        <v>3622</v>
      </c>
      <c r="E275" s="6" t="s">
        <v>23</v>
      </c>
      <c r="F275" s="2" t="s">
        <v>24</v>
      </c>
      <c r="G275" s="2" t="s">
        <v>451</v>
      </c>
      <c r="H275" s="2" t="s">
        <v>26</v>
      </c>
      <c r="I275" s="2"/>
      <c r="J275" s="2">
        <v>1317641</v>
      </c>
      <c r="K275" s="2">
        <v>4409</v>
      </c>
      <c r="L275" s="2" t="s">
        <v>27</v>
      </c>
      <c r="M275" s="2" t="s">
        <v>28</v>
      </c>
      <c r="N275" s="2">
        <v>3125</v>
      </c>
    </row>
    <row r="276" spans="1:14">
      <c r="A276" s="6" t="s">
        <v>41</v>
      </c>
      <c r="B276" s="6" t="s">
        <v>42</v>
      </c>
      <c r="C276" s="6"/>
      <c r="D276" s="6">
        <v>3622</v>
      </c>
      <c r="E276" s="6" t="s">
        <v>23</v>
      </c>
      <c r="F276" s="2" t="s">
        <v>24</v>
      </c>
      <c r="G276" s="2" t="s">
        <v>452</v>
      </c>
      <c r="H276" s="2" t="s">
        <v>26</v>
      </c>
      <c r="I276" s="2"/>
      <c r="J276" s="2">
        <v>1316838</v>
      </c>
      <c r="K276" s="2">
        <v>4409</v>
      </c>
      <c r="L276" s="2" t="s">
        <v>27</v>
      </c>
      <c r="M276" s="2" t="s">
        <v>28</v>
      </c>
      <c r="N276" s="2">
        <v>10405</v>
      </c>
    </row>
    <row r="277" spans="1:14">
      <c r="A277" s="6" t="s">
        <v>162</v>
      </c>
      <c r="B277" s="6" t="s">
        <v>163</v>
      </c>
      <c r="C277" s="6"/>
      <c r="D277" s="6">
        <v>3622</v>
      </c>
      <c r="E277" s="6" t="s">
        <v>23</v>
      </c>
      <c r="F277" s="2" t="s">
        <v>24</v>
      </c>
      <c r="G277" s="2" t="s">
        <v>453</v>
      </c>
      <c r="H277" s="2" t="s">
        <v>26</v>
      </c>
      <c r="I277" s="2"/>
      <c r="J277" s="2">
        <v>1318033</v>
      </c>
      <c r="K277" s="2">
        <v>4409</v>
      </c>
      <c r="L277" s="2" t="s">
        <v>27</v>
      </c>
      <c r="M277" s="2" t="s">
        <v>28</v>
      </c>
      <c r="N277" s="2">
        <v>10406</v>
      </c>
    </row>
    <row r="278" spans="1:14">
      <c r="A278" s="6" t="s">
        <v>44</v>
      </c>
      <c r="B278" s="6" t="s">
        <v>45</v>
      </c>
      <c r="C278" s="6"/>
      <c r="D278" s="6">
        <v>3622</v>
      </c>
      <c r="E278" s="6" t="s">
        <v>23</v>
      </c>
      <c r="F278" s="2" t="s">
        <v>24</v>
      </c>
      <c r="G278" s="2" t="s">
        <v>454</v>
      </c>
      <c r="H278" s="2" t="s">
        <v>26</v>
      </c>
      <c r="I278" s="2"/>
      <c r="J278" s="2">
        <v>1318922</v>
      </c>
      <c r="K278" s="2">
        <v>4409</v>
      </c>
      <c r="L278" s="2" t="s">
        <v>27</v>
      </c>
      <c r="M278" s="2" t="s">
        <v>28</v>
      </c>
      <c r="N278" s="2">
        <v>10407</v>
      </c>
    </row>
    <row r="279" spans="1:14">
      <c r="A279" s="6" t="s">
        <v>47</v>
      </c>
      <c r="B279" s="6" t="s">
        <v>48</v>
      </c>
      <c r="C279" s="6"/>
      <c r="D279" s="6">
        <v>3622</v>
      </c>
      <c r="E279" s="6" t="s">
        <v>23</v>
      </c>
      <c r="F279" s="2" t="s">
        <v>24</v>
      </c>
      <c r="G279" s="2" t="s">
        <v>455</v>
      </c>
      <c r="H279" s="2" t="s">
        <v>26</v>
      </c>
      <c r="I279" s="2"/>
      <c r="J279" s="2">
        <v>1316800</v>
      </c>
      <c r="K279" s="2">
        <v>4409</v>
      </c>
      <c r="L279" s="2" t="s">
        <v>27</v>
      </c>
      <c r="M279" s="2" t="s">
        <v>28</v>
      </c>
      <c r="N279" s="2">
        <v>10410</v>
      </c>
    </row>
    <row r="280" spans="1:14">
      <c r="A280" s="6" t="s">
        <v>50</v>
      </c>
      <c r="B280" s="6" t="s">
        <v>51</v>
      </c>
      <c r="C280" s="6"/>
      <c r="D280" s="6">
        <v>3622</v>
      </c>
      <c r="E280" s="6" t="s">
        <v>23</v>
      </c>
      <c r="F280" s="2" t="s">
        <v>24</v>
      </c>
      <c r="G280" s="2" t="s">
        <v>456</v>
      </c>
      <c r="H280" s="2" t="s">
        <v>26</v>
      </c>
      <c r="I280" s="2"/>
      <c r="J280" s="2">
        <v>1318816</v>
      </c>
      <c r="K280" s="2">
        <v>4409</v>
      </c>
      <c r="L280" s="2" t="s">
        <v>27</v>
      </c>
      <c r="M280" s="2" t="s">
        <v>28</v>
      </c>
      <c r="N280" s="2">
        <v>10411</v>
      </c>
    </row>
    <row r="281" spans="1:14">
      <c r="A281" s="6" t="s">
        <v>53</v>
      </c>
      <c r="B281" s="6" t="s">
        <v>54</v>
      </c>
      <c r="C281" s="6"/>
      <c r="D281" s="6">
        <v>3622</v>
      </c>
      <c r="E281" s="6" t="s">
        <v>23</v>
      </c>
      <c r="F281" s="2" t="s">
        <v>24</v>
      </c>
      <c r="G281" s="2" t="s">
        <v>457</v>
      </c>
      <c r="H281" s="2" t="s">
        <v>26</v>
      </c>
      <c r="I281" s="2"/>
      <c r="J281" s="2">
        <v>1319616</v>
      </c>
      <c r="K281" s="2">
        <v>4409</v>
      </c>
      <c r="L281" s="2" t="s">
        <v>27</v>
      </c>
      <c r="M281" s="2" t="s">
        <v>28</v>
      </c>
      <c r="N281" s="2">
        <v>10412</v>
      </c>
    </row>
    <row r="282" spans="1:14">
      <c r="A282" s="6" t="s">
        <v>56</v>
      </c>
      <c r="B282" s="6" t="s">
        <v>57</v>
      </c>
      <c r="C282" s="6"/>
      <c r="D282" s="6">
        <v>3622</v>
      </c>
      <c r="E282" s="6" t="s">
        <v>23</v>
      </c>
      <c r="F282" s="2" t="s">
        <v>24</v>
      </c>
      <c r="G282" s="2" t="s">
        <v>458</v>
      </c>
      <c r="H282" s="2" t="s">
        <v>26</v>
      </c>
      <c r="I282" s="2"/>
      <c r="J282" s="2">
        <v>1319606</v>
      </c>
      <c r="K282" s="2">
        <v>4409</v>
      </c>
      <c r="L282" s="2" t="s">
        <v>27</v>
      </c>
      <c r="M282" s="2" t="s">
        <v>28</v>
      </c>
      <c r="N282" s="2">
        <v>10414</v>
      </c>
    </row>
    <row r="283" spans="1:14">
      <c r="A283" s="6" t="s">
        <v>59</v>
      </c>
      <c r="B283" s="6" t="s">
        <v>60</v>
      </c>
      <c r="C283" s="6"/>
      <c r="D283" s="6">
        <v>3622</v>
      </c>
      <c r="E283" s="6" t="s">
        <v>23</v>
      </c>
      <c r="F283" s="2" t="s">
        <v>24</v>
      </c>
      <c r="G283" s="2" t="s">
        <v>459</v>
      </c>
      <c r="H283" s="2" t="s">
        <v>26</v>
      </c>
      <c r="I283" s="2"/>
      <c r="J283" s="2">
        <v>1319580</v>
      </c>
      <c r="K283" s="2">
        <v>4409</v>
      </c>
      <c r="L283" s="2" t="s">
        <v>27</v>
      </c>
      <c r="M283" s="2" t="s">
        <v>28</v>
      </c>
      <c r="N283" s="2">
        <v>10487</v>
      </c>
    </row>
    <row r="284" spans="1:14">
      <c r="A284" s="6" t="s">
        <v>62</v>
      </c>
      <c r="B284" s="6" t="s">
        <v>63</v>
      </c>
      <c r="C284" s="6"/>
      <c r="D284" s="6">
        <v>3622</v>
      </c>
      <c r="E284" s="6" t="s">
        <v>23</v>
      </c>
      <c r="F284" s="2" t="s">
        <v>24</v>
      </c>
      <c r="G284" s="2" t="s">
        <v>460</v>
      </c>
      <c r="H284" s="2" t="s">
        <v>26</v>
      </c>
      <c r="I284" s="2"/>
      <c r="J284" s="2">
        <v>1317131</v>
      </c>
      <c r="K284" s="2">
        <v>4409</v>
      </c>
      <c r="L284" s="2" t="s">
        <v>27</v>
      </c>
      <c r="M284" s="2" t="s">
        <v>28</v>
      </c>
      <c r="N284" s="2">
        <v>10416</v>
      </c>
    </row>
    <row r="285" spans="1:14">
      <c r="A285" s="6" t="s">
        <v>65</v>
      </c>
      <c r="B285" s="6" t="s">
        <v>66</v>
      </c>
      <c r="C285" s="6"/>
      <c r="D285" s="6">
        <v>3622</v>
      </c>
      <c r="E285" s="6" t="s">
        <v>23</v>
      </c>
      <c r="F285" s="2" t="s">
        <v>24</v>
      </c>
      <c r="G285" s="2" t="s">
        <v>461</v>
      </c>
      <c r="H285" s="2" t="s">
        <v>26</v>
      </c>
      <c r="I285" s="2"/>
      <c r="J285" s="2">
        <v>1319316</v>
      </c>
      <c r="K285" s="2">
        <v>4409</v>
      </c>
      <c r="L285" s="2" t="s">
        <v>27</v>
      </c>
      <c r="M285" s="2" t="s">
        <v>28</v>
      </c>
      <c r="N285" s="2">
        <v>1253</v>
      </c>
    </row>
    <row r="286" spans="1:14">
      <c r="A286" s="6" t="s">
        <v>68</v>
      </c>
      <c r="B286" s="6" t="s">
        <v>69</v>
      </c>
      <c r="C286" s="6"/>
      <c r="D286" s="6">
        <v>3622</v>
      </c>
      <c r="E286" s="6" t="s">
        <v>23</v>
      </c>
      <c r="F286" s="2" t="s">
        <v>24</v>
      </c>
      <c r="G286" s="2" t="s">
        <v>462</v>
      </c>
      <c r="H286" s="2" t="s">
        <v>26</v>
      </c>
      <c r="I286" s="2"/>
      <c r="J286" s="2">
        <v>1317285</v>
      </c>
      <c r="K286" s="2">
        <v>4409</v>
      </c>
      <c r="L286" s="2" t="s">
        <v>27</v>
      </c>
      <c r="M286" s="2" t="s">
        <v>28</v>
      </c>
      <c r="N286" s="2">
        <v>8468</v>
      </c>
    </row>
    <row r="287" spans="1:14">
      <c r="A287" s="6" t="s">
        <v>71</v>
      </c>
      <c r="B287" s="6" t="s">
        <v>72</v>
      </c>
      <c r="C287" s="6"/>
      <c r="D287" s="6">
        <v>3622</v>
      </c>
      <c r="E287" s="6" t="s">
        <v>23</v>
      </c>
      <c r="F287" s="2" t="s">
        <v>24</v>
      </c>
      <c r="G287" s="2" t="s">
        <v>463</v>
      </c>
      <c r="H287" s="2" t="s">
        <v>26</v>
      </c>
      <c r="I287" s="2"/>
      <c r="J287" s="2">
        <v>1316813</v>
      </c>
      <c r="K287" s="2">
        <v>4409</v>
      </c>
      <c r="L287" s="2" t="s">
        <v>27</v>
      </c>
      <c r="M287" s="2" t="s">
        <v>28</v>
      </c>
      <c r="N287" s="2">
        <v>4578</v>
      </c>
    </row>
    <row r="288" spans="1:14">
      <c r="A288" s="6" t="s">
        <v>74</v>
      </c>
      <c r="B288" s="6" t="s">
        <v>75</v>
      </c>
      <c r="C288" s="6"/>
      <c r="D288" s="6">
        <v>3622</v>
      </c>
      <c r="E288" s="6" t="s">
        <v>23</v>
      </c>
      <c r="F288" s="2" t="s">
        <v>24</v>
      </c>
      <c r="G288" s="2" t="s">
        <v>464</v>
      </c>
      <c r="H288" s="2" t="s">
        <v>26</v>
      </c>
      <c r="I288" s="2"/>
      <c r="J288" s="2">
        <v>1317382</v>
      </c>
      <c r="K288" s="2">
        <v>4409</v>
      </c>
      <c r="L288" s="2" t="s">
        <v>27</v>
      </c>
      <c r="M288" s="2" t="s">
        <v>28</v>
      </c>
      <c r="N288" s="2">
        <v>10419</v>
      </c>
    </row>
    <row r="289" spans="1:14">
      <c r="A289" s="6" t="s">
        <v>80</v>
      </c>
      <c r="B289" s="6" t="s">
        <v>81</v>
      </c>
      <c r="C289" s="6"/>
      <c r="D289" s="6">
        <v>3622</v>
      </c>
      <c r="E289" s="6" t="s">
        <v>23</v>
      </c>
      <c r="F289" s="2" t="s">
        <v>24</v>
      </c>
      <c r="G289" s="2" t="s">
        <v>400</v>
      </c>
      <c r="H289" s="2" t="s">
        <v>26</v>
      </c>
      <c r="I289" s="2"/>
      <c r="J289" s="2">
        <v>1316785</v>
      </c>
      <c r="K289" s="2">
        <v>4409</v>
      </c>
      <c r="L289" s="2" t="s">
        <v>27</v>
      </c>
      <c r="M289" s="2" t="s">
        <v>28</v>
      </c>
      <c r="N289" s="2">
        <v>10421</v>
      </c>
    </row>
    <row r="290" spans="1:14">
      <c r="A290" s="6" t="s">
        <v>83</v>
      </c>
      <c r="B290" s="6" t="s">
        <v>84</v>
      </c>
      <c r="C290" s="6"/>
      <c r="D290" s="6">
        <v>3622</v>
      </c>
      <c r="E290" s="6" t="s">
        <v>23</v>
      </c>
      <c r="F290" s="2" t="s">
        <v>24</v>
      </c>
      <c r="G290" s="2" t="s">
        <v>465</v>
      </c>
      <c r="H290" s="2" t="s">
        <v>26</v>
      </c>
      <c r="I290" s="2"/>
      <c r="J290" s="2">
        <v>1319379</v>
      </c>
      <c r="K290" s="2">
        <v>4409</v>
      </c>
      <c r="L290" s="2" t="s">
        <v>27</v>
      </c>
      <c r="M290" s="2" t="s">
        <v>28</v>
      </c>
      <c r="N290" s="2">
        <v>10422</v>
      </c>
    </row>
    <row r="291" spans="1:14">
      <c r="A291" s="6" t="s">
        <v>86</v>
      </c>
      <c r="B291" s="6" t="s">
        <v>87</v>
      </c>
      <c r="C291" s="6"/>
      <c r="D291" s="6">
        <v>3622</v>
      </c>
      <c r="E291" s="6" t="s">
        <v>23</v>
      </c>
      <c r="F291" s="2" t="s">
        <v>24</v>
      </c>
      <c r="G291" s="2" t="s">
        <v>466</v>
      </c>
      <c r="H291" s="2" t="s">
        <v>26</v>
      </c>
      <c r="I291" s="2"/>
      <c r="J291" s="2">
        <v>1317374</v>
      </c>
      <c r="K291" s="2">
        <v>4409</v>
      </c>
      <c r="L291" s="2" t="s">
        <v>27</v>
      </c>
      <c r="M291" s="2" t="s">
        <v>28</v>
      </c>
      <c r="N291" s="2">
        <v>10423</v>
      </c>
    </row>
    <row r="292" spans="1:14">
      <c r="A292" s="6" t="s">
        <v>89</v>
      </c>
      <c r="B292" s="6" t="s">
        <v>90</v>
      </c>
      <c r="C292" s="6"/>
      <c r="D292" s="6">
        <v>3622</v>
      </c>
      <c r="E292" s="6" t="s">
        <v>23</v>
      </c>
      <c r="F292" s="2" t="s">
        <v>24</v>
      </c>
      <c r="G292" s="2" t="s">
        <v>467</v>
      </c>
      <c r="H292" s="2" t="s">
        <v>26</v>
      </c>
      <c r="I292" s="2"/>
      <c r="J292" s="2">
        <v>1317049</v>
      </c>
      <c r="K292" s="2">
        <v>4409</v>
      </c>
      <c r="L292" s="2" t="s">
        <v>27</v>
      </c>
      <c r="M292" s="2" t="s">
        <v>28</v>
      </c>
      <c r="N292" s="2">
        <v>10424</v>
      </c>
    </row>
    <row r="293" spans="1:14">
      <c r="A293" s="6" t="s">
        <v>92</v>
      </c>
      <c r="B293" s="6" t="s">
        <v>93</v>
      </c>
      <c r="C293" s="6"/>
      <c r="D293" s="6">
        <v>3622</v>
      </c>
      <c r="E293" s="6" t="s">
        <v>23</v>
      </c>
      <c r="F293" s="2" t="s">
        <v>24</v>
      </c>
      <c r="G293" s="2" t="s">
        <v>468</v>
      </c>
      <c r="H293" s="2" t="s">
        <v>26</v>
      </c>
      <c r="I293" s="2"/>
      <c r="J293" s="2">
        <v>1319595</v>
      </c>
      <c r="K293" s="2">
        <v>4409</v>
      </c>
      <c r="L293" s="2" t="s">
        <v>27</v>
      </c>
      <c r="M293" s="2" t="s">
        <v>28</v>
      </c>
      <c r="N293" s="2">
        <v>10425</v>
      </c>
    </row>
    <row r="294" spans="1:14">
      <c r="A294" s="6" t="s">
        <v>95</v>
      </c>
      <c r="B294" s="6" t="s">
        <v>96</v>
      </c>
      <c r="C294" s="6"/>
      <c r="D294" s="6">
        <v>3622</v>
      </c>
      <c r="E294" s="6" t="s">
        <v>23</v>
      </c>
      <c r="F294" s="2" t="s">
        <v>24</v>
      </c>
      <c r="G294" s="2" t="s">
        <v>469</v>
      </c>
      <c r="H294" s="2" t="s">
        <v>26</v>
      </c>
      <c r="I294" s="2"/>
      <c r="J294" s="2">
        <v>1317585</v>
      </c>
      <c r="K294" s="2">
        <v>4409</v>
      </c>
      <c r="L294" s="2" t="s">
        <v>27</v>
      </c>
      <c r="M294" s="2" t="s">
        <v>28</v>
      </c>
      <c r="N294" s="2">
        <v>10426</v>
      </c>
    </row>
    <row r="295" spans="1:14">
      <c r="A295" s="7" t="s">
        <v>98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>
        <f>ROWS(A272:N294)</f>
        <v>23</v>
      </c>
    </row>
    <row r="296" spans="1:14">
      <c r="A296" s="7" t="s">
        <v>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>
        <f>ROWS(A272:N294)</f>
        <v>23</v>
      </c>
    </row>
    <row r="297" spans="1:14" customHeight="1" ht="20">
      <c r="A297" s="4" t="s">
        <v>470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customHeight="1" ht="20">
      <c r="A298" s="4" t="s">
        <v>471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13</v>
      </c>
      <c r="H299" s="5" t="s">
        <v>14</v>
      </c>
      <c r="I299" s="5" t="s">
        <v>15</v>
      </c>
      <c r="J299" s="5" t="s">
        <v>16</v>
      </c>
      <c r="K299" s="5" t="s">
        <v>17</v>
      </c>
      <c r="L299" s="5" t="s">
        <v>18</v>
      </c>
      <c r="M299" s="5" t="s">
        <v>19</v>
      </c>
      <c r="N299" s="5" t="s">
        <v>20</v>
      </c>
    </row>
    <row r="300" spans="1:14">
      <c r="A300" s="6" t="s">
        <v>472</v>
      </c>
      <c r="B300" s="6" t="s">
        <v>473</v>
      </c>
      <c r="C300" s="6"/>
      <c r="D300" s="6">
        <v>3704</v>
      </c>
      <c r="E300" s="6" t="s">
        <v>474</v>
      </c>
      <c r="F300" s="2" t="s">
        <v>24</v>
      </c>
      <c r="G300" s="2" t="s">
        <v>475</v>
      </c>
      <c r="H300" s="2" t="s">
        <v>26</v>
      </c>
      <c r="I300" s="2"/>
      <c r="J300" s="2">
        <v>1317237</v>
      </c>
      <c r="K300" s="2">
        <v>4271</v>
      </c>
      <c r="L300" s="2" t="s">
        <v>27</v>
      </c>
      <c r="M300" s="2" t="s">
        <v>28</v>
      </c>
      <c r="N300" s="2">
        <v>10461</v>
      </c>
    </row>
    <row r="301" spans="1:14">
      <c r="A301" s="6" t="s">
        <v>476</v>
      </c>
      <c r="B301" s="6" t="s">
        <v>477</v>
      </c>
      <c r="C301" s="6"/>
      <c r="D301" s="6">
        <v>3704</v>
      </c>
      <c r="E301" s="6" t="s">
        <v>23</v>
      </c>
      <c r="F301" s="2" t="s">
        <v>24</v>
      </c>
      <c r="G301" s="2" t="s">
        <v>478</v>
      </c>
      <c r="H301" s="2" t="s">
        <v>26</v>
      </c>
      <c r="I301" s="2"/>
      <c r="J301" s="2">
        <v>1318995</v>
      </c>
      <c r="K301" s="2">
        <v>4271</v>
      </c>
      <c r="L301" s="2" t="s">
        <v>27</v>
      </c>
      <c r="M301" s="2" t="s">
        <v>28</v>
      </c>
      <c r="N301" s="2">
        <v>12370</v>
      </c>
    </row>
    <row r="302" spans="1:14">
      <c r="A302" s="6" t="s">
        <v>479</v>
      </c>
      <c r="B302" s="6" t="s">
        <v>480</v>
      </c>
      <c r="C302" s="6"/>
      <c r="D302" s="6">
        <v>3704</v>
      </c>
      <c r="E302" s="6" t="s">
        <v>23</v>
      </c>
      <c r="F302" s="2" t="s">
        <v>24</v>
      </c>
      <c r="G302" s="2" t="s">
        <v>481</v>
      </c>
      <c r="H302" s="2" t="s">
        <v>26</v>
      </c>
      <c r="I302" s="2"/>
      <c r="J302" s="2">
        <v>1317534</v>
      </c>
      <c r="K302" s="2">
        <v>4271</v>
      </c>
      <c r="L302" s="2" t="s">
        <v>27</v>
      </c>
      <c r="M302" s="2" t="s">
        <v>28</v>
      </c>
      <c r="N302" s="2">
        <v>12365</v>
      </c>
    </row>
    <row r="303" spans="1:14">
      <c r="A303" s="6" t="s">
        <v>482</v>
      </c>
      <c r="B303" s="6" t="s">
        <v>483</v>
      </c>
      <c r="C303" s="6"/>
      <c r="D303" s="6">
        <v>3704</v>
      </c>
      <c r="E303" s="6" t="s">
        <v>23</v>
      </c>
      <c r="F303" s="2" t="s">
        <v>24</v>
      </c>
      <c r="G303" s="2" t="s">
        <v>484</v>
      </c>
      <c r="H303" s="2" t="s">
        <v>26</v>
      </c>
      <c r="I303" s="2"/>
      <c r="J303" s="2">
        <v>1317359</v>
      </c>
      <c r="K303" s="2">
        <v>4271</v>
      </c>
      <c r="L303" s="2" t="s">
        <v>27</v>
      </c>
      <c r="M303" s="2" t="s">
        <v>28</v>
      </c>
      <c r="N303" s="2">
        <v>12366</v>
      </c>
    </row>
    <row r="304" spans="1:14">
      <c r="A304" s="6" t="s">
        <v>485</v>
      </c>
      <c r="B304" s="6" t="s">
        <v>486</v>
      </c>
      <c r="C304" s="6"/>
      <c r="D304" s="6">
        <v>3704</v>
      </c>
      <c r="E304" s="6" t="s">
        <v>23</v>
      </c>
      <c r="F304" s="2" t="s">
        <v>24</v>
      </c>
      <c r="G304" s="2" t="s">
        <v>487</v>
      </c>
      <c r="H304" s="2" t="s">
        <v>26</v>
      </c>
      <c r="I304" s="2"/>
      <c r="J304" s="2">
        <v>1316868</v>
      </c>
      <c r="K304" s="2">
        <v>4271</v>
      </c>
      <c r="L304" s="2" t="s">
        <v>27</v>
      </c>
      <c r="M304" s="2" t="s">
        <v>28</v>
      </c>
      <c r="N304" s="2">
        <v>12371</v>
      </c>
    </row>
    <row r="305" spans="1:14">
      <c r="A305" s="6" t="s">
        <v>488</v>
      </c>
      <c r="B305" s="6" t="s">
        <v>489</v>
      </c>
      <c r="C305" s="6"/>
      <c r="D305" s="6">
        <v>3704</v>
      </c>
      <c r="E305" s="6" t="s">
        <v>23</v>
      </c>
      <c r="F305" s="2" t="s">
        <v>24</v>
      </c>
      <c r="G305" s="2" t="s">
        <v>490</v>
      </c>
      <c r="H305" s="2" t="s">
        <v>26</v>
      </c>
      <c r="I305" s="2"/>
      <c r="J305" s="2">
        <v>1317793</v>
      </c>
      <c r="K305" s="2">
        <v>4271</v>
      </c>
      <c r="L305" s="2" t="s">
        <v>27</v>
      </c>
      <c r="M305" s="2" t="s">
        <v>28</v>
      </c>
      <c r="N305" s="2">
        <v>12372</v>
      </c>
    </row>
    <row r="306" spans="1:14">
      <c r="A306" s="6" t="s">
        <v>491</v>
      </c>
      <c r="B306" s="6" t="s">
        <v>492</v>
      </c>
      <c r="C306" s="6"/>
      <c r="D306" s="6">
        <v>3704</v>
      </c>
      <c r="E306" s="6" t="s">
        <v>23</v>
      </c>
      <c r="F306" s="2" t="s">
        <v>24</v>
      </c>
      <c r="G306" s="2" t="s">
        <v>493</v>
      </c>
      <c r="H306" s="2" t="s">
        <v>26</v>
      </c>
      <c r="I306" s="2"/>
      <c r="J306" s="2">
        <v>1318079</v>
      </c>
      <c r="K306" s="2">
        <v>4271</v>
      </c>
      <c r="L306" s="2" t="s">
        <v>27</v>
      </c>
      <c r="M306" s="2" t="s">
        <v>28</v>
      </c>
      <c r="N306" s="2">
        <v>12373</v>
      </c>
    </row>
    <row r="307" spans="1:14">
      <c r="A307" s="6" t="s">
        <v>494</v>
      </c>
      <c r="B307" s="6" t="s">
        <v>495</v>
      </c>
      <c r="C307" s="6"/>
      <c r="D307" s="6">
        <v>3704</v>
      </c>
      <c r="E307" s="6" t="s">
        <v>23</v>
      </c>
      <c r="F307" s="2" t="s">
        <v>24</v>
      </c>
      <c r="G307" s="2" t="s">
        <v>496</v>
      </c>
      <c r="H307" s="2" t="s">
        <v>26</v>
      </c>
      <c r="I307" s="2"/>
      <c r="J307" s="2">
        <v>1319549</v>
      </c>
      <c r="K307" s="2">
        <v>4271</v>
      </c>
      <c r="L307" s="2" t="s">
        <v>27</v>
      </c>
      <c r="M307" s="2" t="s">
        <v>28</v>
      </c>
      <c r="N307" s="2">
        <v>12374</v>
      </c>
    </row>
    <row r="308" spans="1:14">
      <c r="A308" s="6" t="s">
        <v>497</v>
      </c>
      <c r="B308" s="6" t="s">
        <v>498</v>
      </c>
      <c r="C308" s="6"/>
      <c r="D308" s="6">
        <v>3704</v>
      </c>
      <c r="E308" s="6" t="s">
        <v>23</v>
      </c>
      <c r="F308" s="2" t="s">
        <v>24</v>
      </c>
      <c r="G308" s="2" t="s">
        <v>499</v>
      </c>
      <c r="H308" s="2" t="s">
        <v>26</v>
      </c>
      <c r="I308" s="2"/>
      <c r="J308" s="2">
        <v>1323804</v>
      </c>
      <c r="K308" s="2">
        <v>4271</v>
      </c>
      <c r="L308" s="2" t="s">
        <v>27</v>
      </c>
      <c r="M308" s="2" t="s">
        <v>28</v>
      </c>
      <c r="N308" s="2">
        <v>12354</v>
      </c>
    </row>
    <row r="309" spans="1:14">
      <c r="A309" s="6" t="s">
        <v>500</v>
      </c>
      <c r="B309" s="6" t="s">
        <v>501</v>
      </c>
      <c r="C309" s="6"/>
      <c r="D309" s="6">
        <v>3704</v>
      </c>
      <c r="E309" s="6" t="s">
        <v>23</v>
      </c>
      <c r="F309" s="2" t="s">
        <v>24</v>
      </c>
      <c r="G309" s="2" t="s">
        <v>502</v>
      </c>
      <c r="H309" s="2" t="s">
        <v>26</v>
      </c>
      <c r="I309" s="2"/>
      <c r="J309" s="2">
        <v>1323789</v>
      </c>
      <c r="K309" s="2">
        <v>4271</v>
      </c>
      <c r="L309" s="2" t="s">
        <v>27</v>
      </c>
      <c r="M309" s="2" t="s">
        <v>28</v>
      </c>
      <c r="N309" s="2">
        <v>12363</v>
      </c>
    </row>
    <row r="310" spans="1:14">
      <c r="A310" s="7" t="s">
        <v>98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>
        <f>ROWS(A300:N309)</f>
        <v>10</v>
      </c>
    </row>
    <row r="311" spans="1:14" customHeight="1" ht="20">
      <c r="A311" s="4" t="s">
        <v>503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5" t="s">
        <v>7</v>
      </c>
      <c r="B312" s="5" t="s">
        <v>8</v>
      </c>
      <c r="C312" s="5" t="s">
        <v>9</v>
      </c>
      <c r="D312" s="5" t="s">
        <v>10</v>
      </c>
      <c r="E312" s="5" t="s">
        <v>11</v>
      </c>
      <c r="F312" s="5" t="s">
        <v>12</v>
      </c>
      <c r="G312" s="5" t="s">
        <v>13</v>
      </c>
      <c r="H312" s="5" t="s">
        <v>14</v>
      </c>
      <c r="I312" s="5" t="s">
        <v>15</v>
      </c>
      <c r="J312" s="5" t="s">
        <v>16</v>
      </c>
      <c r="K312" s="5" t="s">
        <v>17</v>
      </c>
      <c r="L312" s="5" t="s">
        <v>18</v>
      </c>
      <c r="M312" s="5" t="s">
        <v>19</v>
      </c>
      <c r="N312" s="5" t="s">
        <v>20</v>
      </c>
    </row>
    <row r="313" spans="1:14">
      <c r="A313" s="6" t="s">
        <v>504</v>
      </c>
      <c r="B313" s="6" t="s">
        <v>505</v>
      </c>
      <c r="C313" s="6"/>
      <c r="D313" s="6">
        <v>3704</v>
      </c>
      <c r="E313" s="6" t="s">
        <v>23</v>
      </c>
      <c r="F313" s="2" t="s">
        <v>24</v>
      </c>
      <c r="G313" s="2" t="s">
        <v>506</v>
      </c>
      <c r="H313" s="2" t="s">
        <v>26</v>
      </c>
      <c r="I313" s="2"/>
      <c r="J313" s="2">
        <v>1324691</v>
      </c>
      <c r="K313" s="2">
        <v>4271</v>
      </c>
      <c r="L313" s="2" t="s">
        <v>27</v>
      </c>
      <c r="M313" s="2" t="s">
        <v>28</v>
      </c>
      <c r="N313" s="2">
        <v>12461</v>
      </c>
    </row>
    <row r="314" spans="1:14">
      <c r="A314" s="7" t="s">
        <v>98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>
        <f>ROWS(A313:N313)</f>
        <v>1</v>
      </c>
    </row>
    <row r="315" spans="1:14">
      <c r="A315" s="7" t="s">
        <v>98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>
        <f>ROWS(A300:N309) + ROWS(A313:N313)</f>
        <v>11</v>
      </c>
    </row>
    <row r="316" spans="1:14" customHeight="1" ht="20">
      <c r="A316" s="4" t="s">
        <v>507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customHeight="1" ht="20">
      <c r="A317" s="4" t="s">
        <v>471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5" t="s">
        <v>7</v>
      </c>
      <c r="B318" s="5" t="s">
        <v>8</v>
      </c>
      <c r="C318" s="5" t="s">
        <v>9</v>
      </c>
      <c r="D318" s="5" t="s">
        <v>10</v>
      </c>
      <c r="E318" s="5" t="s">
        <v>11</v>
      </c>
      <c r="F318" s="5" t="s">
        <v>12</v>
      </c>
      <c r="G318" s="5" t="s">
        <v>13</v>
      </c>
      <c r="H318" s="5" t="s">
        <v>14</v>
      </c>
      <c r="I318" s="5" t="s">
        <v>15</v>
      </c>
      <c r="J318" s="5" t="s">
        <v>16</v>
      </c>
      <c r="K318" s="5" t="s">
        <v>17</v>
      </c>
      <c r="L318" s="5" t="s">
        <v>18</v>
      </c>
      <c r="M318" s="5" t="s">
        <v>19</v>
      </c>
      <c r="N318" s="5" t="s">
        <v>20</v>
      </c>
    </row>
    <row r="319" spans="1:14">
      <c r="A319" s="6" t="s">
        <v>476</v>
      </c>
      <c r="B319" s="6" t="s">
        <v>477</v>
      </c>
      <c r="C319" s="6"/>
      <c r="D319" s="6">
        <v>3709</v>
      </c>
      <c r="E319" s="6" t="s">
        <v>23</v>
      </c>
      <c r="F319" s="2" t="s">
        <v>24</v>
      </c>
      <c r="G319" s="2" t="s">
        <v>508</v>
      </c>
      <c r="H319" s="2" t="s">
        <v>26</v>
      </c>
      <c r="I319" s="2"/>
      <c r="J319" s="2">
        <v>1318996</v>
      </c>
      <c r="K319" s="2">
        <v>4413</v>
      </c>
      <c r="L319" s="2" t="s">
        <v>27</v>
      </c>
      <c r="M319" s="2" t="s">
        <v>28</v>
      </c>
      <c r="N319" s="2">
        <v>12370</v>
      </c>
    </row>
    <row r="320" spans="1:14">
      <c r="A320" s="6" t="s">
        <v>479</v>
      </c>
      <c r="B320" s="6" t="s">
        <v>480</v>
      </c>
      <c r="C320" s="6"/>
      <c r="D320" s="6">
        <v>3709</v>
      </c>
      <c r="E320" s="6" t="s">
        <v>23</v>
      </c>
      <c r="F320" s="2" t="s">
        <v>24</v>
      </c>
      <c r="G320" s="2" t="s">
        <v>509</v>
      </c>
      <c r="H320" s="2" t="s">
        <v>26</v>
      </c>
      <c r="I320" s="2"/>
      <c r="J320" s="2">
        <v>1317535</v>
      </c>
      <c r="K320" s="2">
        <v>4413</v>
      </c>
      <c r="L320" s="2" t="s">
        <v>27</v>
      </c>
      <c r="M320" s="2" t="s">
        <v>28</v>
      </c>
      <c r="N320" s="2">
        <v>12365</v>
      </c>
    </row>
    <row r="321" spans="1:14">
      <c r="A321" s="6" t="s">
        <v>482</v>
      </c>
      <c r="B321" s="6" t="s">
        <v>483</v>
      </c>
      <c r="C321" s="6"/>
      <c r="D321" s="6">
        <v>3709</v>
      </c>
      <c r="E321" s="6" t="s">
        <v>23</v>
      </c>
      <c r="F321" s="2" t="s">
        <v>24</v>
      </c>
      <c r="G321" s="2" t="s">
        <v>510</v>
      </c>
      <c r="H321" s="2" t="s">
        <v>26</v>
      </c>
      <c r="I321" s="2"/>
      <c r="J321" s="2">
        <v>1317358</v>
      </c>
      <c r="K321" s="2">
        <v>4413</v>
      </c>
      <c r="L321" s="2" t="s">
        <v>27</v>
      </c>
      <c r="M321" s="2" t="s">
        <v>28</v>
      </c>
      <c r="N321" s="2">
        <v>12366</v>
      </c>
    </row>
    <row r="322" spans="1:14">
      <c r="A322" s="6" t="s">
        <v>485</v>
      </c>
      <c r="B322" s="6" t="s">
        <v>486</v>
      </c>
      <c r="C322" s="6"/>
      <c r="D322" s="6">
        <v>3709</v>
      </c>
      <c r="E322" s="6" t="s">
        <v>23</v>
      </c>
      <c r="F322" s="2" t="s">
        <v>24</v>
      </c>
      <c r="G322" s="2" t="s">
        <v>511</v>
      </c>
      <c r="H322" s="2" t="s">
        <v>26</v>
      </c>
      <c r="I322" s="2"/>
      <c r="J322" s="2">
        <v>1316867</v>
      </c>
      <c r="K322" s="2">
        <v>4413</v>
      </c>
      <c r="L322" s="2" t="s">
        <v>27</v>
      </c>
      <c r="M322" s="2" t="s">
        <v>28</v>
      </c>
      <c r="N322" s="2">
        <v>12371</v>
      </c>
    </row>
    <row r="323" spans="1:14">
      <c r="A323" s="6" t="s">
        <v>488</v>
      </c>
      <c r="B323" s="6" t="s">
        <v>489</v>
      </c>
      <c r="C323" s="6"/>
      <c r="D323" s="6">
        <v>3709</v>
      </c>
      <c r="E323" s="6" t="s">
        <v>23</v>
      </c>
      <c r="F323" s="2" t="s">
        <v>24</v>
      </c>
      <c r="G323" s="2" t="s">
        <v>512</v>
      </c>
      <c r="H323" s="2" t="s">
        <v>26</v>
      </c>
      <c r="I323" s="2"/>
      <c r="J323" s="2">
        <v>1317791</v>
      </c>
      <c r="K323" s="2">
        <v>4413</v>
      </c>
      <c r="L323" s="2" t="s">
        <v>27</v>
      </c>
      <c r="M323" s="2" t="s">
        <v>28</v>
      </c>
      <c r="N323" s="2">
        <v>12372</v>
      </c>
    </row>
    <row r="324" spans="1:14">
      <c r="A324" s="6" t="s">
        <v>491</v>
      </c>
      <c r="B324" s="6" t="s">
        <v>492</v>
      </c>
      <c r="C324" s="6"/>
      <c r="D324" s="6">
        <v>3709</v>
      </c>
      <c r="E324" s="6" t="s">
        <v>23</v>
      </c>
      <c r="F324" s="2" t="s">
        <v>24</v>
      </c>
      <c r="G324" s="2" t="s">
        <v>513</v>
      </c>
      <c r="H324" s="2" t="s">
        <v>26</v>
      </c>
      <c r="I324" s="2"/>
      <c r="J324" s="2">
        <v>1318075</v>
      </c>
      <c r="K324" s="2">
        <v>4413</v>
      </c>
      <c r="L324" s="2" t="s">
        <v>27</v>
      </c>
      <c r="M324" s="2" t="s">
        <v>28</v>
      </c>
      <c r="N324" s="2">
        <v>12373</v>
      </c>
    </row>
    <row r="325" spans="1:14">
      <c r="A325" s="6" t="s">
        <v>494</v>
      </c>
      <c r="B325" s="6" t="s">
        <v>495</v>
      </c>
      <c r="C325" s="6"/>
      <c r="D325" s="6">
        <v>3709</v>
      </c>
      <c r="E325" s="6" t="s">
        <v>23</v>
      </c>
      <c r="F325" s="2" t="s">
        <v>24</v>
      </c>
      <c r="G325" s="2" t="s">
        <v>514</v>
      </c>
      <c r="H325" s="2" t="s">
        <v>26</v>
      </c>
      <c r="I325" s="2"/>
      <c r="J325" s="2">
        <v>1319548</v>
      </c>
      <c r="K325" s="2">
        <v>4413</v>
      </c>
      <c r="L325" s="2" t="s">
        <v>27</v>
      </c>
      <c r="M325" s="2" t="s">
        <v>28</v>
      </c>
      <c r="N325" s="2">
        <v>12374</v>
      </c>
    </row>
    <row r="326" spans="1:14">
      <c r="A326" s="6" t="s">
        <v>497</v>
      </c>
      <c r="B326" s="6" t="s">
        <v>498</v>
      </c>
      <c r="C326" s="6"/>
      <c r="D326" s="6">
        <v>3709</v>
      </c>
      <c r="E326" s="6" t="s">
        <v>23</v>
      </c>
      <c r="F326" s="2" t="s">
        <v>24</v>
      </c>
      <c r="G326" s="2" t="s">
        <v>515</v>
      </c>
      <c r="H326" s="2" t="s">
        <v>26</v>
      </c>
      <c r="I326" s="2"/>
      <c r="J326" s="2">
        <v>1323805</v>
      </c>
      <c r="K326" s="2">
        <v>4413</v>
      </c>
      <c r="L326" s="2" t="s">
        <v>27</v>
      </c>
      <c r="M326" s="2" t="s">
        <v>28</v>
      </c>
      <c r="N326" s="2">
        <v>12354</v>
      </c>
    </row>
    <row r="327" spans="1:14">
      <c r="A327" s="6" t="s">
        <v>500</v>
      </c>
      <c r="B327" s="6" t="s">
        <v>501</v>
      </c>
      <c r="C327" s="6"/>
      <c r="D327" s="6">
        <v>3709</v>
      </c>
      <c r="E327" s="6" t="s">
        <v>23</v>
      </c>
      <c r="F327" s="2" t="s">
        <v>24</v>
      </c>
      <c r="G327" s="2" t="s">
        <v>516</v>
      </c>
      <c r="H327" s="2" t="s">
        <v>26</v>
      </c>
      <c r="I327" s="2"/>
      <c r="J327" s="2">
        <v>1323790</v>
      </c>
      <c r="K327" s="2">
        <v>4413</v>
      </c>
      <c r="L327" s="2" t="s">
        <v>27</v>
      </c>
      <c r="M327" s="2" t="s">
        <v>28</v>
      </c>
      <c r="N327" s="2">
        <v>12363</v>
      </c>
    </row>
    <row r="328" spans="1:14">
      <c r="A328" s="7" t="s">
        <v>98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>
        <f>ROWS(A319:N327)</f>
        <v>9</v>
      </c>
    </row>
    <row r="329" spans="1:14" customHeight="1" ht="20">
      <c r="A329" s="4" t="s">
        <v>503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5" t="s">
        <v>7</v>
      </c>
      <c r="B330" s="5" t="s">
        <v>8</v>
      </c>
      <c r="C330" s="5" t="s">
        <v>9</v>
      </c>
      <c r="D330" s="5" t="s">
        <v>10</v>
      </c>
      <c r="E330" s="5" t="s">
        <v>11</v>
      </c>
      <c r="F330" s="5" t="s">
        <v>12</v>
      </c>
      <c r="G330" s="5" t="s">
        <v>13</v>
      </c>
      <c r="H330" s="5" t="s">
        <v>14</v>
      </c>
      <c r="I330" s="5" t="s">
        <v>15</v>
      </c>
      <c r="J330" s="5" t="s">
        <v>16</v>
      </c>
      <c r="K330" s="5" t="s">
        <v>17</v>
      </c>
      <c r="L330" s="5" t="s">
        <v>18</v>
      </c>
      <c r="M330" s="5" t="s">
        <v>19</v>
      </c>
      <c r="N330" s="5" t="s">
        <v>20</v>
      </c>
    </row>
    <row r="331" spans="1:14">
      <c r="A331" s="6" t="s">
        <v>504</v>
      </c>
      <c r="B331" s="6" t="s">
        <v>505</v>
      </c>
      <c r="C331" s="6"/>
      <c r="D331" s="6">
        <v>3709</v>
      </c>
      <c r="E331" s="6" t="s">
        <v>23</v>
      </c>
      <c r="F331" s="2" t="s">
        <v>24</v>
      </c>
      <c r="G331" s="2" t="s">
        <v>517</v>
      </c>
      <c r="H331" s="2" t="s">
        <v>26</v>
      </c>
      <c r="I331" s="2"/>
      <c r="J331" s="2">
        <v>1324693</v>
      </c>
      <c r="K331" s="2">
        <v>4413</v>
      </c>
      <c r="L331" s="2" t="s">
        <v>27</v>
      </c>
      <c r="M331" s="2" t="s">
        <v>28</v>
      </c>
      <c r="N331" s="2">
        <v>12461</v>
      </c>
    </row>
    <row r="332" spans="1:14">
      <c r="A332" s="7" t="s">
        <v>98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>
        <f>ROWS(A331:N331)</f>
        <v>1</v>
      </c>
    </row>
    <row r="333" spans="1:14">
      <c r="A333" s="7" t="s">
        <v>98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>
        <f>ROWS(A319:N327) + ROWS(A331:N331)</f>
        <v>10</v>
      </c>
    </row>
    <row r="334" spans="1:14" customHeight="1" ht="20">
      <c r="A334" s="4" t="s">
        <v>518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customHeight="1" ht="20">
      <c r="A335" s="4" t="s">
        <v>519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5" t="s">
        <v>7</v>
      </c>
      <c r="B336" s="5" t="s">
        <v>8</v>
      </c>
      <c r="C336" s="5" t="s">
        <v>9</v>
      </c>
      <c r="D336" s="5" t="s">
        <v>10</v>
      </c>
      <c r="E336" s="5" t="s">
        <v>11</v>
      </c>
      <c r="F336" s="5" t="s">
        <v>12</v>
      </c>
      <c r="G336" s="5" t="s">
        <v>13</v>
      </c>
      <c r="H336" s="5" t="s">
        <v>14</v>
      </c>
      <c r="I336" s="5" t="s">
        <v>15</v>
      </c>
      <c r="J336" s="5" t="s">
        <v>16</v>
      </c>
      <c r="K336" s="5" t="s">
        <v>17</v>
      </c>
      <c r="L336" s="5" t="s">
        <v>18</v>
      </c>
      <c r="M336" s="5" t="s">
        <v>19</v>
      </c>
      <c r="N336" s="5" t="s">
        <v>20</v>
      </c>
    </row>
    <row r="337" spans="1:14">
      <c r="A337" s="6" t="s">
        <v>520</v>
      </c>
      <c r="B337" s="6" t="s">
        <v>521</v>
      </c>
      <c r="C337" s="6"/>
      <c r="D337" s="6">
        <v>515</v>
      </c>
      <c r="E337" s="6" t="s">
        <v>23</v>
      </c>
      <c r="F337" s="2" t="s">
        <v>24</v>
      </c>
      <c r="G337" s="2" t="s">
        <v>522</v>
      </c>
      <c r="H337" s="2" t="s">
        <v>26</v>
      </c>
      <c r="I337" s="2"/>
      <c r="J337" s="2">
        <v>1317408</v>
      </c>
      <c r="K337" s="2">
        <v>4272</v>
      </c>
      <c r="L337" s="2" t="s">
        <v>27</v>
      </c>
      <c r="M337" s="2" t="s">
        <v>28</v>
      </c>
      <c r="N337" s="2">
        <v>12355</v>
      </c>
    </row>
    <row r="338" spans="1:14">
      <c r="A338" s="6" t="s">
        <v>523</v>
      </c>
      <c r="B338" s="6" t="s">
        <v>524</v>
      </c>
      <c r="C338" s="6"/>
      <c r="D338" s="6">
        <v>515</v>
      </c>
      <c r="E338" s="6" t="s">
        <v>23</v>
      </c>
      <c r="F338" s="2" t="s">
        <v>24</v>
      </c>
      <c r="G338" s="2" t="s">
        <v>525</v>
      </c>
      <c r="H338" s="2" t="s">
        <v>26</v>
      </c>
      <c r="I338" s="2"/>
      <c r="J338" s="2">
        <v>1319071</v>
      </c>
      <c r="K338" s="2">
        <v>4272</v>
      </c>
      <c r="L338" s="2" t="s">
        <v>27</v>
      </c>
      <c r="M338" s="2" t="s">
        <v>28</v>
      </c>
      <c r="N338" s="2">
        <v>12356</v>
      </c>
    </row>
    <row r="339" spans="1:14">
      <c r="A339" s="6" t="s">
        <v>526</v>
      </c>
      <c r="B339" s="6" t="s">
        <v>527</v>
      </c>
      <c r="C339" s="6"/>
      <c r="D339" s="6">
        <v>515</v>
      </c>
      <c r="E339" s="6" t="s">
        <v>23</v>
      </c>
      <c r="F339" s="2" t="s">
        <v>24</v>
      </c>
      <c r="G339" s="2" t="s">
        <v>528</v>
      </c>
      <c r="H339" s="2" t="s">
        <v>26</v>
      </c>
      <c r="I339" s="2"/>
      <c r="J339" s="2">
        <v>1317677</v>
      </c>
      <c r="K339" s="2">
        <v>4272</v>
      </c>
      <c r="L339" s="2" t="s">
        <v>27</v>
      </c>
      <c r="M339" s="2" t="s">
        <v>28</v>
      </c>
      <c r="N339" s="2">
        <v>12357</v>
      </c>
    </row>
    <row r="340" spans="1:14">
      <c r="A340" s="6" t="s">
        <v>529</v>
      </c>
      <c r="B340" s="6" t="s">
        <v>530</v>
      </c>
      <c r="C340" s="6"/>
      <c r="D340" s="6">
        <v>515</v>
      </c>
      <c r="E340" s="6" t="s">
        <v>23</v>
      </c>
      <c r="F340" s="2" t="s">
        <v>24</v>
      </c>
      <c r="G340" s="2" t="s">
        <v>531</v>
      </c>
      <c r="H340" s="2" t="s">
        <v>26</v>
      </c>
      <c r="I340" s="2"/>
      <c r="J340" s="2">
        <v>1317825</v>
      </c>
      <c r="K340" s="2">
        <v>4272</v>
      </c>
      <c r="L340" s="2" t="s">
        <v>27</v>
      </c>
      <c r="M340" s="2" t="s">
        <v>28</v>
      </c>
      <c r="N340" s="2">
        <v>12358</v>
      </c>
    </row>
    <row r="341" spans="1:14">
      <c r="A341" s="6" t="s">
        <v>532</v>
      </c>
      <c r="B341" s="6" t="s">
        <v>533</v>
      </c>
      <c r="C341" s="6"/>
      <c r="D341" s="6">
        <v>515</v>
      </c>
      <c r="E341" s="6" t="s">
        <v>23</v>
      </c>
      <c r="F341" s="2" t="s">
        <v>24</v>
      </c>
      <c r="G341" s="2" t="s">
        <v>534</v>
      </c>
      <c r="H341" s="2" t="s">
        <v>26</v>
      </c>
      <c r="I341" s="2"/>
      <c r="J341" s="2">
        <v>1318096</v>
      </c>
      <c r="K341" s="2">
        <v>4272</v>
      </c>
      <c r="L341" s="2" t="s">
        <v>27</v>
      </c>
      <c r="M341" s="2" t="s">
        <v>28</v>
      </c>
      <c r="N341" s="2">
        <v>12359</v>
      </c>
    </row>
    <row r="342" spans="1:14">
      <c r="A342" s="6" t="s">
        <v>535</v>
      </c>
      <c r="B342" s="6" t="s">
        <v>536</v>
      </c>
      <c r="C342" s="6"/>
      <c r="D342" s="6">
        <v>515</v>
      </c>
      <c r="E342" s="6" t="s">
        <v>23</v>
      </c>
      <c r="F342" s="2" t="s">
        <v>24</v>
      </c>
      <c r="G342" s="2" t="s">
        <v>537</v>
      </c>
      <c r="H342" s="2" t="s">
        <v>26</v>
      </c>
      <c r="I342" s="2"/>
      <c r="J342" s="2">
        <v>1319530</v>
      </c>
      <c r="K342" s="2">
        <v>4272</v>
      </c>
      <c r="L342" s="2" t="s">
        <v>27</v>
      </c>
      <c r="M342" s="2" t="s">
        <v>28</v>
      </c>
      <c r="N342" s="2">
        <v>12361</v>
      </c>
    </row>
    <row r="343" spans="1:14">
      <c r="A343" s="6" t="s">
        <v>538</v>
      </c>
      <c r="B343" s="6" t="s">
        <v>539</v>
      </c>
      <c r="C343" s="6"/>
      <c r="D343" s="6">
        <v>515</v>
      </c>
      <c r="E343" s="6" t="s">
        <v>23</v>
      </c>
      <c r="F343" s="2" t="s">
        <v>24</v>
      </c>
      <c r="G343" s="2" t="s">
        <v>540</v>
      </c>
      <c r="H343" s="2" t="s">
        <v>26</v>
      </c>
      <c r="I343" s="2"/>
      <c r="J343" s="2">
        <v>1318194</v>
      </c>
      <c r="K343" s="2">
        <v>4272</v>
      </c>
      <c r="L343" s="2" t="s">
        <v>27</v>
      </c>
      <c r="M343" s="2" t="s">
        <v>28</v>
      </c>
      <c r="N343" s="2">
        <v>12362</v>
      </c>
    </row>
    <row r="344" spans="1:14">
      <c r="A344" s="6" t="s">
        <v>541</v>
      </c>
      <c r="B344" s="6" t="s">
        <v>542</v>
      </c>
      <c r="C344" s="6"/>
      <c r="D344" s="6">
        <v>515</v>
      </c>
      <c r="E344" s="6" t="s">
        <v>23</v>
      </c>
      <c r="F344" s="2" t="s">
        <v>24</v>
      </c>
      <c r="G344" s="2" t="s">
        <v>543</v>
      </c>
      <c r="H344" s="2" t="s">
        <v>26</v>
      </c>
      <c r="I344" s="2"/>
      <c r="J344" s="2">
        <v>1319389</v>
      </c>
      <c r="K344" s="2">
        <v>4272</v>
      </c>
      <c r="L344" s="2" t="s">
        <v>27</v>
      </c>
      <c r="M344" s="2" t="s">
        <v>28</v>
      </c>
      <c r="N344" s="2">
        <v>12364</v>
      </c>
    </row>
    <row r="345" spans="1:14">
      <c r="A345" s="6" t="s">
        <v>544</v>
      </c>
      <c r="B345" s="6" t="s">
        <v>545</v>
      </c>
      <c r="C345" s="6"/>
      <c r="D345" s="6">
        <v>515</v>
      </c>
      <c r="E345" s="6" t="s">
        <v>23</v>
      </c>
      <c r="F345" s="2" t="s">
        <v>24</v>
      </c>
      <c r="G345" s="2" t="s">
        <v>546</v>
      </c>
      <c r="H345" s="2" t="s">
        <v>26</v>
      </c>
      <c r="I345" s="2"/>
      <c r="J345" s="2">
        <v>1320264</v>
      </c>
      <c r="K345" s="2">
        <v>4272</v>
      </c>
      <c r="L345" s="2" t="s">
        <v>27</v>
      </c>
      <c r="M345" s="2" t="s">
        <v>28</v>
      </c>
      <c r="N345" s="2">
        <v>1274</v>
      </c>
    </row>
    <row r="346" spans="1:14">
      <c r="A346" s="7" t="s">
        <v>98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>
        <f>ROWS(A337:N345)</f>
        <v>9</v>
      </c>
    </row>
    <row r="347" spans="1:14">
      <c r="A347" s="7" t="s">
        <v>98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>
        <f>ROWS(A337:N345)</f>
        <v>9</v>
      </c>
    </row>
    <row r="348" spans="1:14" customHeight="1" ht="20">
      <c r="A348" s="4" t="s">
        <v>547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customHeight="1" ht="20">
      <c r="A349" s="4" t="s">
        <v>471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5" t="s">
        <v>7</v>
      </c>
      <c r="B350" s="5" t="s">
        <v>8</v>
      </c>
      <c r="C350" s="5" t="s">
        <v>9</v>
      </c>
      <c r="D350" s="5" t="s">
        <v>10</v>
      </c>
      <c r="E350" s="5" t="s">
        <v>11</v>
      </c>
      <c r="F350" s="5" t="s">
        <v>12</v>
      </c>
      <c r="G350" s="5" t="s">
        <v>13</v>
      </c>
      <c r="H350" s="5" t="s">
        <v>14</v>
      </c>
      <c r="I350" s="5" t="s">
        <v>15</v>
      </c>
      <c r="J350" s="5" t="s">
        <v>16</v>
      </c>
      <c r="K350" s="5" t="s">
        <v>17</v>
      </c>
      <c r="L350" s="5" t="s">
        <v>18</v>
      </c>
      <c r="M350" s="5" t="s">
        <v>19</v>
      </c>
      <c r="N350" s="5" t="s">
        <v>20</v>
      </c>
    </row>
    <row r="351" spans="1:14">
      <c r="A351" s="6" t="s">
        <v>476</v>
      </c>
      <c r="B351" s="6" t="s">
        <v>477</v>
      </c>
      <c r="C351" s="6"/>
      <c r="D351" s="6">
        <v>3705</v>
      </c>
      <c r="E351" s="6" t="s">
        <v>23</v>
      </c>
      <c r="F351" s="2" t="s">
        <v>24</v>
      </c>
      <c r="G351" s="2" t="s">
        <v>548</v>
      </c>
      <c r="H351" s="2" t="s">
        <v>26</v>
      </c>
      <c r="I351" s="2"/>
      <c r="J351" s="2">
        <v>1318997</v>
      </c>
      <c r="K351" s="2">
        <v>4273</v>
      </c>
      <c r="L351" s="2" t="s">
        <v>27</v>
      </c>
      <c r="M351" s="2" t="s">
        <v>28</v>
      </c>
      <c r="N351" s="2">
        <v>12370</v>
      </c>
    </row>
    <row r="352" spans="1:14">
      <c r="A352" s="6" t="s">
        <v>479</v>
      </c>
      <c r="B352" s="6" t="s">
        <v>480</v>
      </c>
      <c r="C352" s="6"/>
      <c r="D352" s="6">
        <v>3705</v>
      </c>
      <c r="E352" s="6" t="s">
        <v>23</v>
      </c>
      <c r="F352" s="2" t="s">
        <v>24</v>
      </c>
      <c r="G352" s="2" t="s">
        <v>549</v>
      </c>
      <c r="H352" s="2" t="s">
        <v>26</v>
      </c>
      <c r="I352" s="2"/>
      <c r="J352" s="2">
        <v>1317536</v>
      </c>
      <c r="K352" s="2">
        <v>4273</v>
      </c>
      <c r="L352" s="2" t="s">
        <v>27</v>
      </c>
      <c r="M352" s="2" t="s">
        <v>28</v>
      </c>
      <c r="N352" s="2">
        <v>12365</v>
      </c>
    </row>
    <row r="353" spans="1:14">
      <c r="A353" s="6" t="s">
        <v>482</v>
      </c>
      <c r="B353" s="6" t="s">
        <v>483</v>
      </c>
      <c r="C353" s="6"/>
      <c r="D353" s="6">
        <v>3705</v>
      </c>
      <c r="E353" s="6" t="s">
        <v>23</v>
      </c>
      <c r="F353" s="2" t="s">
        <v>24</v>
      </c>
      <c r="G353" s="2" t="s">
        <v>550</v>
      </c>
      <c r="H353" s="2" t="s">
        <v>26</v>
      </c>
      <c r="I353" s="2"/>
      <c r="J353" s="2">
        <v>1317649</v>
      </c>
      <c r="K353" s="2">
        <v>4273</v>
      </c>
      <c r="L353" s="2" t="s">
        <v>27</v>
      </c>
      <c r="M353" s="2" t="s">
        <v>28</v>
      </c>
      <c r="N353" s="2">
        <v>12366</v>
      </c>
    </row>
    <row r="354" spans="1:14">
      <c r="A354" s="6" t="s">
        <v>485</v>
      </c>
      <c r="B354" s="6" t="s">
        <v>486</v>
      </c>
      <c r="C354" s="6"/>
      <c r="D354" s="6">
        <v>3705</v>
      </c>
      <c r="E354" s="6" t="s">
        <v>23</v>
      </c>
      <c r="F354" s="2" t="s">
        <v>24</v>
      </c>
      <c r="G354" s="2" t="s">
        <v>551</v>
      </c>
      <c r="H354" s="2" t="s">
        <v>26</v>
      </c>
      <c r="I354" s="2"/>
      <c r="J354" s="2">
        <v>1316866</v>
      </c>
      <c r="K354" s="2">
        <v>4273</v>
      </c>
      <c r="L354" s="2" t="s">
        <v>27</v>
      </c>
      <c r="M354" s="2" t="s">
        <v>28</v>
      </c>
      <c r="N354" s="2">
        <v>12371</v>
      </c>
    </row>
    <row r="355" spans="1:14">
      <c r="A355" s="6" t="s">
        <v>488</v>
      </c>
      <c r="B355" s="6" t="s">
        <v>489</v>
      </c>
      <c r="C355" s="6"/>
      <c r="D355" s="6">
        <v>3705</v>
      </c>
      <c r="E355" s="6" t="s">
        <v>23</v>
      </c>
      <c r="F355" s="2" t="s">
        <v>24</v>
      </c>
      <c r="G355" s="2" t="s">
        <v>552</v>
      </c>
      <c r="H355" s="2" t="s">
        <v>26</v>
      </c>
      <c r="I355" s="2"/>
      <c r="J355" s="2">
        <v>1317794</v>
      </c>
      <c r="K355" s="2">
        <v>4273</v>
      </c>
      <c r="L355" s="2" t="s">
        <v>27</v>
      </c>
      <c r="M355" s="2" t="s">
        <v>28</v>
      </c>
      <c r="N355" s="2">
        <v>12372</v>
      </c>
    </row>
    <row r="356" spans="1:14">
      <c r="A356" s="6" t="s">
        <v>491</v>
      </c>
      <c r="B356" s="6" t="s">
        <v>492</v>
      </c>
      <c r="C356" s="6"/>
      <c r="D356" s="6">
        <v>3705</v>
      </c>
      <c r="E356" s="6" t="s">
        <v>23</v>
      </c>
      <c r="F356" s="2" t="s">
        <v>24</v>
      </c>
      <c r="G356" s="2" t="s">
        <v>553</v>
      </c>
      <c r="H356" s="2" t="s">
        <v>26</v>
      </c>
      <c r="I356" s="2"/>
      <c r="J356" s="2">
        <v>1318082</v>
      </c>
      <c r="K356" s="2">
        <v>4273</v>
      </c>
      <c r="L356" s="2" t="s">
        <v>27</v>
      </c>
      <c r="M356" s="2" t="s">
        <v>28</v>
      </c>
      <c r="N356" s="2">
        <v>12373</v>
      </c>
    </row>
    <row r="357" spans="1:14">
      <c r="A357" s="6" t="s">
        <v>494</v>
      </c>
      <c r="B357" s="6" t="s">
        <v>495</v>
      </c>
      <c r="C357" s="6"/>
      <c r="D357" s="6">
        <v>3705</v>
      </c>
      <c r="E357" s="6" t="s">
        <v>23</v>
      </c>
      <c r="F357" s="2" t="s">
        <v>24</v>
      </c>
      <c r="G357" s="2" t="s">
        <v>554</v>
      </c>
      <c r="H357" s="2" t="s">
        <v>26</v>
      </c>
      <c r="I357" s="2"/>
      <c r="J357" s="2">
        <v>1319552</v>
      </c>
      <c r="K357" s="2">
        <v>4273</v>
      </c>
      <c r="L357" s="2" t="s">
        <v>27</v>
      </c>
      <c r="M357" s="2" t="s">
        <v>28</v>
      </c>
      <c r="N357" s="2">
        <v>12374</v>
      </c>
    </row>
    <row r="358" spans="1:14">
      <c r="A358" s="6" t="s">
        <v>497</v>
      </c>
      <c r="B358" s="6" t="s">
        <v>498</v>
      </c>
      <c r="C358" s="6"/>
      <c r="D358" s="6">
        <v>3705</v>
      </c>
      <c r="E358" s="6" t="s">
        <v>23</v>
      </c>
      <c r="F358" s="2" t="s">
        <v>24</v>
      </c>
      <c r="G358" s="2" t="s">
        <v>555</v>
      </c>
      <c r="H358" s="2" t="s">
        <v>26</v>
      </c>
      <c r="I358" s="2"/>
      <c r="J358" s="2">
        <v>1323806</v>
      </c>
      <c r="K358" s="2">
        <v>4273</v>
      </c>
      <c r="L358" s="2" t="s">
        <v>27</v>
      </c>
      <c r="M358" s="2" t="s">
        <v>28</v>
      </c>
      <c r="N358" s="2">
        <v>12354</v>
      </c>
    </row>
    <row r="359" spans="1:14">
      <c r="A359" s="6" t="s">
        <v>500</v>
      </c>
      <c r="B359" s="6" t="s">
        <v>501</v>
      </c>
      <c r="C359" s="6"/>
      <c r="D359" s="6">
        <v>3705</v>
      </c>
      <c r="E359" s="6" t="s">
        <v>23</v>
      </c>
      <c r="F359" s="2" t="s">
        <v>24</v>
      </c>
      <c r="G359" s="2" t="s">
        <v>556</v>
      </c>
      <c r="H359" s="2" t="s">
        <v>26</v>
      </c>
      <c r="I359" s="2"/>
      <c r="J359" s="2">
        <v>1323791</v>
      </c>
      <c r="K359" s="2">
        <v>4273</v>
      </c>
      <c r="L359" s="2" t="s">
        <v>27</v>
      </c>
      <c r="M359" s="2" t="s">
        <v>28</v>
      </c>
      <c r="N359" s="2">
        <v>12363</v>
      </c>
    </row>
    <row r="360" spans="1:14">
      <c r="A360" s="7" t="s">
        <v>98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>
        <f>ROWS(A351:N359)</f>
        <v>9</v>
      </c>
    </row>
    <row r="361" spans="1:14">
      <c r="A361" s="7" t="s">
        <v>98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>
        <f>ROWS(A351:N359)</f>
        <v>9</v>
      </c>
    </row>
    <row r="362" spans="1:14" customHeight="1" ht="20">
      <c r="A362" s="4" t="s">
        <v>557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customHeight="1" ht="20">
      <c r="A363" s="4" t="s">
        <v>519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5" t="s">
        <v>7</v>
      </c>
      <c r="B364" s="5" t="s">
        <v>8</v>
      </c>
      <c r="C364" s="5" t="s">
        <v>9</v>
      </c>
      <c r="D364" s="5" t="s">
        <v>10</v>
      </c>
      <c r="E364" s="5" t="s">
        <v>11</v>
      </c>
      <c r="F364" s="5" t="s">
        <v>12</v>
      </c>
      <c r="G364" s="5" t="s">
        <v>13</v>
      </c>
      <c r="H364" s="5" t="s">
        <v>14</v>
      </c>
      <c r="I364" s="5" t="s">
        <v>15</v>
      </c>
      <c r="J364" s="5" t="s">
        <v>16</v>
      </c>
      <c r="K364" s="5" t="s">
        <v>17</v>
      </c>
      <c r="L364" s="5" t="s">
        <v>18</v>
      </c>
      <c r="M364" s="5" t="s">
        <v>19</v>
      </c>
      <c r="N364" s="5" t="s">
        <v>20</v>
      </c>
    </row>
    <row r="365" spans="1:14">
      <c r="A365" s="6" t="s">
        <v>520</v>
      </c>
      <c r="B365" s="6" t="s">
        <v>521</v>
      </c>
      <c r="C365" s="6"/>
      <c r="D365" s="6">
        <v>508</v>
      </c>
      <c r="E365" s="6" t="s">
        <v>23</v>
      </c>
      <c r="F365" s="2" t="s">
        <v>24</v>
      </c>
      <c r="G365" s="2" t="s">
        <v>558</v>
      </c>
      <c r="H365" s="2" t="s">
        <v>26</v>
      </c>
      <c r="I365" s="2"/>
      <c r="J365" s="2">
        <v>1317409</v>
      </c>
      <c r="K365" s="2">
        <v>4274</v>
      </c>
      <c r="L365" s="2" t="s">
        <v>27</v>
      </c>
      <c r="M365" s="2" t="s">
        <v>28</v>
      </c>
      <c r="N365" s="2">
        <v>12355</v>
      </c>
    </row>
    <row r="366" spans="1:14">
      <c r="A366" s="6" t="s">
        <v>523</v>
      </c>
      <c r="B366" s="6" t="s">
        <v>524</v>
      </c>
      <c r="C366" s="6"/>
      <c r="D366" s="6">
        <v>508</v>
      </c>
      <c r="E366" s="6" t="s">
        <v>23</v>
      </c>
      <c r="F366" s="2" t="s">
        <v>24</v>
      </c>
      <c r="G366" s="2" t="s">
        <v>559</v>
      </c>
      <c r="H366" s="2" t="s">
        <v>26</v>
      </c>
      <c r="I366" s="2"/>
      <c r="J366" s="2">
        <v>1319079</v>
      </c>
      <c r="K366" s="2">
        <v>4274</v>
      </c>
      <c r="L366" s="2" t="s">
        <v>27</v>
      </c>
      <c r="M366" s="2" t="s">
        <v>28</v>
      </c>
      <c r="N366" s="2">
        <v>12356</v>
      </c>
    </row>
    <row r="367" spans="1:14">
      <c r="A367" s="6" t="s">
        <v>560</v>
      </c>
      <c r="B367" s="6" t="s">
        <v>561</v>
      </c>
      <c r="C367" s="6" t="s">
        <v>562</v>
      </c>
      <c r="D367" s="6">
        <v>508</v>
      </c>
      <c r="E367" s="6" t="s">
        <v>23</v>
      </c>
      <c r="F367" s="2" t="s">
        <v>24</v>
      </c>
      <c r="G367" s="2" t="s">
        <v>563</v>
      </c>
      <c r="H367" s="2" t="s">
        <v>26</v>
      </c>
      <c r="I367" s="2"/>
      <c r="J367" s="2">
        <v>1316894</v>
      </c>
      <c r="K367" s="2">
        <v>4274</v>
      </c>
      <c r="L367" s="2" t="s">
        <v>27</v>
      </c>
      <c r="M367" s="2" t="s">
        <v>28</v>
      </c>
      <c r="N367" s="2">
        <v>6962</v>
      </c>
    </row>
    <row r="368" spans="1:14">
      <c r="A368" s="6" t="s">
        <v>526</v>
      </c>
      <c r="B368" s="6" t="s">
        <v>527</v>
      </c>
      <c r="C368" s="6"/>
      <c r="D368" s="6">
        <v>508</v>
      </c>
      <c r="E368" s="6" t="s">
        <v>23</v>
      </c>
      <c r="F368" s="2" t="s">
        <v>24</v>
      </c>
      <c r="G368" s="2" t="s">
        <v>564</v>
      </c>
      <c r="H368" s="2" t="s">
        <v>26</v>
      </c>
      <c r="I368" s="2"/>
      <c r="J368" s="2">
        <v>1317678</v>
      </c>
      <c r="K368" s="2">
        <v>4274</v>
      </c>
      <c r="L368" s="2" t="s">
        <v>27</v>
      </c>
      <c r="M368" s="2" t="s">
        <v>28</v>
      </c>
      <c r="N368" s="2">
        <v>12357</v>
      </c>
    </row>
    <row r="369" spans="1:14">
      <c r="A369" s="6" t="s">
        <v>529</v>
      </c>
      <c r="B369" s="6" t="s">
        <v>530</v>
      </c>
      <c r="C369" s="6"/>
      <c r="D369" s="6">
        <v>508</v>
      </c>
      <c r="E369" s="6" t="s">
        <v>23</v>
      </c>
      <c r="F369" s="2" t="s">
        <v>24</v>
      </c>
      <c r="G369" s="2" t="s">
        <v>565</v>
      </c>
      <c r="H369" s="2" t="s">
        <v>26</v>
      </c>
      <c r="I369" s="2"/>
      <c r="J369" s="2">
        <v>1317827</v>
      </c>
      <c r="K369" s="2">
        <v>4274</v>
      </c>
      <c r="L369" s="2" t="s">
        <v>27</v>
      </c>
      <c r="M369" s="2" t="s">
        <v>28</v>
      </c>
      <c r="N369" s="2">
        <v>12358</v>
      </c>
    </row>
    <row r="370" spans="1:14">
      <c r="A370" s="6" t="s">
        <v>532</v>
      </c>
      <c r="B370" s="6" t="s">
        <v>533</v>
      </c>
      <c r="C370" s="6"/>
      <c r="D370" s="6">
        <v>508</v>
      </c>
      <c r="E370" s="6" t="s">
        <v>23</v>
      </c>
      <c r="F370" s="2" t="s">
        <v>24</v>
      </c>
      <c r="G370" s="2" t="s">
        <v>566</v>
      </c>
      <c r="H370" s="2" t="s">
        <v>26</v>
      </c>
      <c r="I370" s="2"/>
      <c r="J370" s="2">
        <v>1318097</v>
      </c>
      <c r="K370" s="2">
        <v>4274</v>
      </c>
      <c r="L370" s="2" t="s">
        <v>27</v>
      </c>
      <c r="M370" s="2" t="s">
        <v>28</v>
      </c>
      <c r="N370" s="2">
        <v>12359</v>
      </c>
    </row>
    <row r="371" spans="1:14">
      <c r="A371" s="6" t="s">
        <v>535</v>
      </c>
      <c r="B371" s="6" t="s">
        <v>536</v>
      </c>
      <c r="C371" s="6"/>
      <c r="D371" s="6">
        <v>508</v>
      </c>
      <c r="E371" s="6" t="s">
        <v>23</v>
      </c>
      <c r="F371" s="2" t="s">
        <v>24</v>
      </c>
      <c r="G371" s="2" t="s">
        <v>567</v>
      </c>
      <c r="H371" s="2" t="s">
        <v>26</v>
      </c>
      <c r="I371" s="2"/>
      <c r="J371" s="2">
        <v>1319531</v>
      </c>
      <c r="K371" s="2">
        <v>4274</v>
      </c>
      <c r="L371" s="2" t="s">
        <v>27</v>
      </c>
      <c r="M371" s="2" t="s">
        <v>28</v>
      </c>
      <c r="N371" s="2">
        <v>12361</v>
      </c>
    </row>
    <row r="372" spans="1:14">
      <c r="A372" s="6" t="s">
        <v>538</v>
      </c>
      <c r="B372" s="6" t="s">
        <v>539</v>
      </c>
      <c r="C372" s="6"/>
      <c r="D372" s="6">
        <v>508</v>
      </c>
      <c r="E372" s="6" t="s">
        <v>23</v>
      </c>
      <c r="F372" s="2" t="s">
        <v>24</v>
      </c>
      <c r="G372" s="2" t="s">
        <v>568</v>
      </c>
      <c r="H372" s="2" t="s">
        <v>26</v>
      </c>
      <c r="I372" s="2"/>
      <c r="J372" s="2">
        <v>1318195</v>
      </c>
      <c r="K372" s="2">
        <v>4274</v>
      </c>
      <c r="L372" s="2" t="s">
        <v>27</v>
      </c>
      <c r="M372" s="2" t="s">
        <v>28</v>
      </c>
      <c r="N372" s="2">
        <v>12362</v>
      </c>
    </row>
    <row r="373" spans="1:14">
      <c r="A373" s="6" t="s">
        <v>541</v>
      </c>
      <c r="B373" s="6" t="s">
        <v>542</v>
      </c>
      <c r="C373" s="6"/>
      <c r="D373" s="6">
        <v>508</v>
      </c>
      <c r="E373" s="6" t="s">
        <v>23</v>
      </c>
      <c r="F373" s="2" t="s">
        <v>24</v>
      </c>
      <c r="G373" s="2" t="s">
        <v>569</v>
      </c>
      <c r="H373" s="2" t="s">
        <v>26</v>
      </c>
      <c r="I373" s="2"/>
      <c r="J373" s="2">
        <v>1319390</v>
      </c>
      <c r="K373" s="2">
        <v>4274</v>
      </c>
      <c r="L373" s="2" t="s">
        <v>27</v>
      </c>
      <c r="M373" s="2" t="s">
        <v>28</v>
      </c>
      <c r="N373" s="2">
        <v>12364</v>
      </c>
    </row>
    <row r="374" spans="1:14">
      <c r="A374" s="6" t="s">
        <v>544</v>
      </c>
      <c r="B374" s="6" t="s">
        <v>545</v>
      </c>
      <c r="C374" s="6"/>
      <c r="D374" s="6">
        <v>508</v>
      </c>
      <c r="E374" s="6" t="s">
        <v>23</v>
      </c>
      <c r="F374" s="2" t="s">
        <v>24</v>
      </c>
      <c r="G374" s="2" t="s">
        <v>570</v>
      </c>
      <c r="H374" s="2" t="s">
        <v>26</v>
      </c>
      <c r="I374" s="2"/>
      <c r="J374" s="2">
        <v>1320265</v>
      </c>
      <c r="K374" s="2">
        <v>4274</v>
      </c>
      <c r="L374" s="2" t="s">
        <v>27</v>
      </c>
      <c r="M374" s="2" t="s">
        <v>28</v>
      </c>
      <c r="N374" s="2">
        <v>1274</v>
      </c>
    </row>
    <row r="375" spans="1:14">
      <c r="A375" s="7" t="s">
        <v>98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>
        <f>ROWS(A365:N374)</f>
        <v>10</v>
      </c>
    </row>
    <row r="376" spans="1:14">
      <c r="A376" s="7" t="s">
        <v>98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>
        <f>ROWS(A365:N374)</f>
        <v>10</v>
      </c>
    </row>
    <row r="377" spans="1:14" customHeight="1" ht="20">
      <c r="A377" s="4" t="s">
        <v>571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customHeight="1" ht="20">
      <c r="A378" s="4" t="s">
        <v>272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13</v>
      </c>
      <c r="H379" s="5" t="s">
        <v>14</v>
      </c>
      <c r="I379" s="5" t="s">
        <v>15</v>
      </c>
      <c r="J379" s="5" t="s">
        <v>16</v>
      </c>
      <c r="K379" s="5" t="s">
        <v>17</v>
      </c>
      <c r="L379" s="5" t="s">
        <v>18</v>
      </c>
      <c r="M379" s="5" t="s">
        <v>19</v>
      </c>
      <c r="N379" s="5" t="s">
        <v>20</v>
      </c>
    </row>
    <row r="380" spans="1:14">
      <c r="A380" s="6" t="s">
        <v>273</v>
      </c>
      <c r="B380" s="6" t="s">
        <v>274</v>
      </c>
      <c r="C380" s="6"/>
      <c r="D380" s="6">
        <v>3518</v>
      </c>
      <c r="E380" s="6" t="s">
        <v>23</v>
      </c>
      <c r="F380" s="2" t="s">
        <v>24</v>
      </c>
      <c r="G380" s="2" t="s">
        <v>572</v>
      </c>
      <c r="H380" s="2" t="s">
        <v>26</v>
      </c>
      <c r="I380" s="2"/>
      <c r="J380" s="2">
        <v>1317606</v>
      </c>
      <c r="K380" s="2">
        <v>4419</v>
      </c>
      <c r="L380" s="2" t="s">
        <v>27</v>
      </c>
      <c r="M380" s="2" t="s">
        <v>28</v>
      </c>
      <c r="N380" s="2">
        <v>2666</v>
      </c>
    </row>
    <row r="381" spans="1:14">
      <c r="A381" s="6" t="s">
        <v>276</v>
      </c>
      <c r="B381" s="6" t="s">
        <v>277</v>
      </c>
      <c r="C381" s="6"/>
      <c r="D381" s="6">
        <v>3518</v>
      </c>
      <c r="E381" s="6" t="s">
        <v>23</v>
      </c>
      <c r="F381" s="2" t="s">
        <v>24</v>
      </c>
      <c r="G381" s="2" t="s">
        <v>573</v>
      </c>
      <c r="H381" s="2" t="s">
        <v>26</v>
      </c>
      <c r="I381" s="2"/>
      <c r="J381" s="2">
        <v>1317577</v>
      </c>
      <c r="K381" s="2">
        <v>4419</v>
      </c>
      <c r="L381" s="2" t="s">
        <v>27</v>
      </c>
      <c r="M381" s="2" t="s">
        <v>28</v>
      </c>
      <c r="N381" s="2">
        <v>10427</v>
      </c>
    </row>
    <row r="382" spans="1:14">
      <c r="A382" s="6" t="s">
        <v>279</v>
      </c>
      <c r="B382" s="6" t="s">
        <v>280</v>
      </c>
      <c r="C382" s="6"/>
      <c r="D382" s="6">
        <v>3518</v>
      </c>
      <c r="E382" s="6" t="s">
        <v>23</v>
      </c>
      <c r="F382" s="2" t="s">
        <v>24</v>
      </c>
      <c r="G382" s="2" t="s">
        <v>574</v>
      </c>
      <c r="H382" s="2" t="s">
        <v>26</v>
      </c>
      <c r="I382" s="2"/>
      <c r="J382" s="2">
        <v>1318635</v>
      </c>
      <c r="K382" s="2">
        <v>4419</v>
      </c>
      <c r="L382" s="2" t="s">
        <v>27</v>
      </c>
      <c r="M382" s="2" t="s">
        <v>28</v>
      </c>
      <c r="N382" s="2">
        <v>10428</v>
      </c>
    </row>
    <row r="383" spans="1:14">
      <c r="A383" s="6" t="s">
        <v>282</v>
      </c>
      <c r="B383" s="6" t="s">
        <v>283</v>
      </c>
      <c r="C383" s="6"/>
      <c r="D383" s="6">
        <v>3518</v>
      </c>
      <c r="E383" s="6" t="s">
        <v>23</v>
      </c>
      <c r="F383" s="2" t="s">
        <v>24</v>
      </c>
      <c r="G383" s="2" t="s">
        <v>575</v>
      </c>
      <c r="H383" s="2" t="s">
        <v>26</v>
      </c>
      <c r="I383" s="2"/>
      <c r="J383" s="2">
        <v>1323105</v>
      </c>
      <c r="K383" s="2">
        <v>4419</v>
      </c>
      <c r="L383" s="2" t="s">
        <v>27</v>
      </c>
      <c r="M383" s="2" t="s">
        <v>28</v>
      </c>
      <c r="N383" s="2">
        <v>10499</v>
      </c>
    </row>
    <row r="384" spans="1:14">
      <c r="A384" s="6" t="s">
        <v>285</v>
      </c>
      <c r="B384" s="6" t="s">
        <v>286</v>
      </c>
      <c r="C384" s="6"/>
      <c r="D384" s="6">
        <v>3518</v>
      </c>
      <c r="E384" s="6" t="s">
        <v>23</v>
      </c>
      <c r="F384" s="2" t="s">
        <v>24</v>
      </c>
      <c r="G384" s="2" t="s">
        <v>576</v>
      </c>
      <c r="H384" s="2" t="s">
        <v>26</v>
      </c>
      <c r="I384" s="2"/>
      <c r="J384" s="2">
        <v>1318961</v>
      </c>
      <c r="K384" s="2">
        <v>4419</v>
      </c>
      <c r="L384" s="2" t="s">
        <v>27</v>
      </c>
      <c r="M384" s="2" t="s">
        <v>28</v>
      </c>
      <c r="N384" s="2">
        <v>10429</v>
      </c>
    </row>
    <row r="385" spans="1:14">
      <c r="A385" s="6" t="s">
        <v>288</v>
      </c>
      <c r="B385" s="6" t="s">
        <v>289</v>
      </c>
      <c r="C385" s="6"/>
      <c r="D385" s="6">
        <v>3518</v>
      </c>
      <c r="E385" s="6" t="s">
        <v>23</v>
      </c>
      <c r="F385" s="2" t="s">
        <v>24</v>
      </c>
      <c r="G385" s="2" t="s">
        <v>577</v>
      </c>
      <c r="H385" s="2" t="s">
        <v>26</v>
      </c>
      <c r="I385" s="2"/>
      <c r="J385" s="2">
        <v>1322205</v>
      </c>
      <c r="K385" s="2">
        <v>4419</v>
      </c>
      <c r="L385" s="2" t="s">
        <v>27</v>
      </c>
      <c r="M385" s="2" t="s">
        <v>28</v>
      </c>
      <c r="N385" s="2">
        <v>10430</v>
      </c>
    </row>
    <row r="386" spans="1:14">
      <c r="A386" s="6" t="s">
        <v>291</v>
      </c>
      <c r="B386" s="6" t="s">
        <v>292</v>
      </c>
      <c r="C386" s="6"/>
      <c r="D386" s="6">
        <v>3518</v>
      </c>
      <c r="E386" s="6" t="s">
        <v>23</v>
      </c>
      <c r="F386" s="2" t="s">
        <v>24</v>
      </c>
      <c r="G386" s="2" t="s">
        <v>578</v>
      </c>
      <c r="H386" s="2" t="s">
        <v>26</v>
      </c>
      <c r="I386" s="2"/>
      <c r="J386" s="2">
        <v>1318215</v>
      </c>
      <c r="K386" s="2">
        <v>4419</v>
      </c>
      <c r="L386" s="2" t="s">
        <v>27</v>
      </c>
      <c r="M386" s="2" t="s">
        <v>28</v>
      </c>
      <c r="N386" s="2">
        <v>10431</v>
      </c>
    </row>
    <row r="387" spans="1:14">
      <c r="A387" s="6" t="s">
        <v>294</v>
      </c>
      <c r="B387" s="6" t="s">
        <v>295</v>
      </c>
      <c r="C387" s="6"/>
      <c r="D387" s="6">
        <v>3518</v>
      </c>
      <c r="E387" s="6" t="s">
        <v>23</v>
      </c>
      <c r="F387" s="2" t="s">
        <v>24</v>
      </c>
      <c r="G387" s="2" t="s">
        <v>579</v>
      </c>
      <c r="H387" s="2" t="s">
        <v>26</v>
      </c>
      <c r="I387" s="2"/>
      <c r="J387" s="2">
        <v>1318911</v>
      </c>
      <c r="K387" s="2">
        <v>4419</v>
      </c>
      <c r="L387" s="2" t="s">
        <v>27</v>
      </c>
      <c r="M387" s="2" t="s">
        <v>28</v>
      </c>
      <c r="N387" s="2">
        <v>10432</v>
      </c>
    </row>
    <row r="388" spans="1:14">
      <c r="A388" s="6" t="s">
        <v>297</v>
      </c>
      <c r="B388" s="6" t="s">
        <v>298</v>
      </c>
      <c r="C388" s="6"/>
      <c r="D388" s="6">
        <v>3518</v>
      </c>
      <c r="E388" s="6" t="s">
        <v>23</v>
      </c>
      <c r="F388" s="2" t="s">
        <v>24</v>
      </c>
      <c r="G388" s="2" t="s">
        <v>580</v>
      </c>
      <c r="H388" s="2" t="s">
        <v>26</v>
      </c>
      <c r="I388" s="2"/>
      <c r="J388" s="2">
        <v>1317717</v>
      </c>
      <c r="K388" s="2">
        <v>4419</v>
      </c>
      <c r="L388" s="2" t="s">
        <v>27</v>
      </c>
      <c r="M388" s="2" t="s">
        <v>28</v>
      </c>
      <c r="N388" s="2">
        <v>10434</v>
      </c>
    </row>
    <row r="389" spans="1:14">
      <c r="A389" s="6" t="s">
        <v>300</v>
      </c>
      <c r="B389" s="6" t="s">
        <v>301</v>
      </c>
      <c r="C389" s="6"/>
      <c r="D389" s="6">
        <v>3518</v>
      </c>
      <c r="E389" s="6" t="s">
        <v>23</v>
      </c>
      <c r="F389" s="2" t="s">
        <v>24</v>
      </c>
      <c r="G389" s="2" t="s">
        <v>581</v>
      </c>
      <c r="H389" s="2" t="s">
        <v>26</v>
      </c>
      <c r="I389" s="2"/>
      <c r="J389" s="2">
        <v>1317871</v>
      </c>
      <c r="K389" s="2">
        <v>4419</v>
      </c>
      <c r="L389" s="2" t="s">
        <v>27</v>
      </c>
      <c r="M389" s="2" t="s">
        <v>28</v>
      </c>
      <c r="N389" s="2">
        <v>10435</v>
      </c>
    </row>
    <row r="390" spans="1:14">
      <c r="A390" s="6" t="s">
        <v>303</v>
      </c>
      <c r="B390" s="6" t="s">
        <v>304</v>
      </c>
      <c r="C390" s="6"/>
      <c r="D390" s="6">
        <v>3518</v>
      </c>
      <c r="E390" s="6" t="s">
        <v>23</v>
      </c>
      <c r="F390" s="2" t="s">
        <v>24</v>
      </c>
      <c r="G390" s="2" t="s">
        <v>582</v>
      </c>
      <c r="H390" s="2" t="s">
        <v>26</v>
      </c>
      <c r="I390" s="2"/>
      <c r="J390" s="2">
        <v>1318653</v>
      </c>
      <c r="K390" s="2">
        <v>4419</v>
      </c>
      <c r="L390" s="2" t="s">
        <v>27</v>
      </c>
      <c r="M390" s="2" t="s">
        <v>28</v>
      </c>
      <c r="N390" s="2">
        <v>10436</v>
      </c>
    </row>
    <row r="391" spans="1:14">
      <c r="A391" s="6" t="s">
        <v>306</v>
      </c>
      <c r="B391" s="6" t="s">
        <v>307</v>
      </c>
      <c r="C391" s="6"/>
      <c r="D391" s="6">
        <v>3518</v>
      </c>
      <c r="E391" s="6" t="s">
        <v>23</v>
      </c>
      <c r="F391" s="2" t="s">
        <v>24</v>
      </c>
      <c r="G391" s="2" t="s">
        <v>583</v>
      </c>
      <c r="H391" s="2" t="s">
        <v>26</v>
      </c>
      <c r="I391" s="2"/>
      <c r="J391" s="2">
        <v>1318166</v>
      </c>
      <c r="K391" s="2">
        <v>4419</v>
      </c>
      <c r="L391" s="2" t="s">
        <v>27</v>
      </c>
      <c r="M391" s="2" t="s">
        <v>28</v>
      </c>
      <c r="N391" s="2">
        <v>10437</v>
      </c>
    </row>
    <row r="392" spans="1:14">
      <c r="A392" s="6" t="s">
        <v>309</v>
      </c>
      <c r="B392" s="6" t="s">
        <v>310</v>
      </c>
      <c r="C392" s="6"/>
      <c r="D392" s="6">
        <v>3518</v>
      </c>
      <c r="E392" s="6" t="s">
        <v>23</v>
      </c>
      <c r="F392" s="2" t="s">
        <v>24</v>
      </c>
      <c r="G392" s="2" t="s">
        <v>584</v>
      </c>
      <c r="H392" s="2" t="s">
        <v>26</v>
      </c>
      <c r="I392" s="2"/>
      <c r="J392" s="2">
        <v>1319076</v>
      </c>
      <c r="K392" s="2">
        <v>4419</v>
      </c>
      <c r="L392" s="2" t="s">
        <v>27</v>
      </c>
      <c r="M392" s="2" t="s">
        <v>28</v>
      </c>
      <c r="N392" s="2">
        <v>10438</v>
      </c>
    </row>
    <row r="393" spans="1:14">
      <c r="A393" s="7" t="s">
        <v>98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>
        <f>ROWS(A380:N392)</f>
        <v>13</v>
      </c>
    </row>
    <row r="394" spans="1:14">
      <c r="A394" s="7" t="s">
        <v>98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>
        <f>ROWS(A380:N392)</f>
        <v>13</v>
      </c>
    </row>
    <row r="395" spans="1:14" customHeight="1" ht="20">
      <c r="A395" s="4" t="s">
        <v>585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customHeight="1" ht="20">
      <c r="A396" s="4" t="s">
        <v>331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13</v>
      </c>
      <c r="H397" s="5" t="s">
        <v>14</v>
      </c>
      <c r="I397" s="5" t="s">
        <v>15</v>
      </c>
      <c r="J397" s="5" t="s">
        <v>16</v>
      </c>
      <c r="K397" s="5" t="s">
        <v>17</v>
      </c>
      <c r="L397" s="5" t="s">
        <v>18</v>
      </c>
      <c r="M397" s="5" t="s">
        <v>19</v>
      </c>
      <c r="N397" s="5" t="s">
        <v>20</v>
      </c>
    </row>
    <row r="398" spans="1:14">
      <c r="A398" s="6" t="s">
        <v>335</v>
      </c>
      <c r="B398" s="6" t="s">
        <v>336</v>
      </c>
      <c r="C398" s="6"/>
      <c r="D398" s="6">
        <v>3400</v>
      </c>
      <c r="E398" s="6" t="s">
        <v>23</v>
      </c>
      <c r="F398" s="2" t="s">
        <v>24</v>
      </c>
      <c r="G398" s="2" t="s">
        <v>586</v>
      </c>
      <c r="H398" s="2" t="s">
        <v>26</v>
      </c>
      <c r="I398" s="2"/>
      <c r="J398" s="2">
        <v>1317463</v>
      </c>
      <c r="K398" s="2">
        <v>4391</v>
      </c>
      <c r="L398" s="2" t="s">
        <v>27</v>
      </c>
      <c r="M398" s="2" t="s">
        <v>28</v>
      </c>
      <c r="N398" s="2">
        <v>12307</v>
      </c>
    </row>
    <row r="399" spans="1:14">
      <c r="A399" s="6" t="s">
        <v>338</v>
      </c>
      <c r="B399" s="6" t="s">
        <v>339</v>
      </c>
      <c r="C399" s="6"/>
      <c r="D399" s="6">
        <v>3400</v>
      </c>
      <c r="E399" s="6" t="s">
        <v>23</v>
      </c>
      <c r="F399" s="2" t="s">
        <v>24</v>
      </c>
      <c r="G399" s="2" t="s">
        <v>587</v>
      </c>
      <c r="H399" s="2" t="s">
        <v>26</v>
      </c>
      <c r="I399" s="2"/>
      <c r="J399" s="2">
        <v>1317191</v>
      </c>
      <c r="K399" s="2">
        <v>4391</v>
      </c>
      <c r="L399" s="2" t="s">
        <v>27</v>
      </c>
      <c r="M399" s="2" t="s">
        <v>28</v>
      </c>
      <c r="N399" s="2">
        <v>12308</v>
      </c>
    </row>
    <row r="400" spans="1:14">
      <c r="A400" s="6" t="s">
        <v>341</v>
      </c>
      <c r="B400" s="6" t="s">
        <v>342</v>
      </c>
      <c r="C400" s="6"/>
      <c r="D400" s="6">
        <v>3400</v>
      </c>
      <c r="E400" s="6" t="s">
        <v>23</v>
      </c>
      <c r="F400" s="2" t="s">
        <v>24</v>
      </c>
      <c r="G400" s="2" t="s">
        <v>588</v>
      </c>
      <c r="H400" s="2" t="s">
        <v>26</v>
      </c>
      <c r="I400" s="2"/>
      <c r="J400" s="2">
        <v>1317350</v>
      </c>
      <c r="K400" s="2">
        <v>4391</v>
      </c>
      <c r="L400" s="2" t="s">
        <v>27</v>
      </c>
      <c r="M400" s="2" t="s">
        <v>28</v>
      </c>
      <c r="N400" s="2">
        <v>12309</v>
      </c>
    </row>
    <row r="401" spans="1:14">
      <c r="A401" s="6" t="s">
        <v>589</v>
      </c>
      <c r="B401" s="6" t="s">
        <v>590</v>
      </c>
      <c r="C401" s="6"/>
      <c r="D401" s="6">
        <v>3400</v>
      </c>
      <c r="E401" s="6" t="s">
        <v>23</v>
      </c>
      <c r="F401" s="2" t="s">
        <v>24</v>
      </c>
      <c r="G401" s="2" t="s">
        <v>591</v>
      </c>
      <c r="H401" s="2" t="s">
        <v>26</v>
      </c>
      <c r="I401" s="2"/>
      <c r="J401" s="2">
        <v>1316795</v>
      </c>
      <c r="K401" s="2">
        <v>4391</v>
      </c>
      <c r="L401" s="2" t="s">
        <v>27</v>
      </c>
      <c r="M401" s="2" t="s">
        <v>28</v>
      </c>
      <c r="N401" s="2">
        <v>10354</v>
      </c>
    </row>
    <row r="402" spans="1:14">
      <c r="A402" s="6" t="s">
        <v>344</v>
      </c>
      <c r="B402" s="6" t="s">
        <v>345</v>
      </c>
      <c r="C402" s="6"/>
      <c r="D402" s="6">
        <v>3400</v>
      </c>
      <c r="E402" s="6" t="s">
        <v>23</v>
      </c>
      <c r="F402" s="2" t="s">
        <v>24</v>
      </c>
      <c r="G402" s="2" t="s">
        <v>592</v>
      </c>
      <c r="H402" s="2" t="s">
        <v>26</v>
      </c>
      <c r="I402" s="2"/>
      <c r="J402" s="2">
        <v>1316769</v>
      </c>
      <c r="K402" s="2">
        <v>4391</v>
      </c>
      <c r="L402" s="2" t="s">
        <v>27</v>
      </c>
      <c r="M402" s="2" t="s">
        <v>28</v>
      </c>
      <c r="N402" s="2">
        <v>12310</v>
      </c>
    </row>
    <row r="403" spans="1:14">
      <c r="A403" s="6" t="s">
        <v>347</v>
      </c>
      <c r="B403" s="6" t="s">
        <v>348</v>
      </c>
      <c r="C403" s="6"/>
      <c r="D403" s="6">
        <v>3400</v>
      </c>
      <c r="E403" s="6" t="s">
        <v>23</v>
      </c>
      <c r="F403" s="2" t="s">
        <v>24</v>
      </c>
      <c r="G403" s="2" t="s">
        <v>593</v>
      </c>
      <c r="H403" s="2" t="s">
        <v>26</v>
      </c>
      <c r="I403" s="2"/>
      <c r="J403" s="2">
        <v>1317268</v>
      </c>
      <c r="K403" s="2">
        <v>4391</v>
      </c>
      <c r="L403" s="2" t="s">
        <v>27</v>
      </c>
      <c r="M403" s="2" t="s">
        <v>28</v>
      </c>
      <c r="N403" s="2">
        <v>10391</v>
      </c>
    </row>
    <row r="404" spans="1:14">
      <c r="A404" s="6" t="s">
        <v>350</v>
      </c>
      <c r="B404" s="6" t="s">
        <v>351</v>
      </c>
      <c r="C404" s="6"/>
      <c r="D404" s="6">
        <v>3400</v>
      </c>
      <c r="E404" s="6" t="s">
        <v>23</v>
      </c>
      <c r="F404" s="2" t="s">
        <v>24</v>
      </c>
      <c r="G404" s="2" t="s">
        <v>594</v>
      </c>
      <c r="H404" s="2" t="s">
        <v>26</v>
      </c>
      <c r="I404" s="2"/>
      <c r="J404" s="2">
        <v>1317082</v>
      </c>
      <c r="K404" s="2">
        <v>4391</v>
      </c>
      <c r="L404" s="2" t="s">
        <v>27</v>
      </c>
      <c r="M404" s="2" t="s">
        <v>28</v>
      </c>
      <c r="N404" s="2">
        <v>2945</v>
      </c>
    </row>
    <row r="405" spans="1:14">
      <c r="A405" s="7" t="s">
        <v>98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>
        <f>ROWS(A398:N404)</f>
        <v>7</v>
      </c>
    </row>
    <row r="406" spans="1:14">
      <c r="A406" s="7" t="s">
        <v>98</v>
      </c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>
        <f>ROWS(A398:N404)</f>
        <v>7</v>
      </c>
    </row>
    <row r="407" spans="1:14" customHeight="1" ht="20">
      <c r="A407" s="4" t="s">
        <v>595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customHeight="1" ht="20">
      <c r="A408" s="4" t="s">
        <v>6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13</v>
      </c>
      <c r="H409" s="5" t="s">
        <v>14</v>
      </c>
      <c r="I409" s="5" t="s">
        <v>15</v>
      </c>
      <c r="J409" s="5" t="s">
        <v>16</v>
      </c>
      <c r="K409" s="5" t="s">
        <v>17</v>
      </c>
      <c r="L409" s="5" t="s">
        <v>18</v>
      </c>
      <c r="M409" s="5" t="s">
        <v>19</v>
      </c>
      <c r="N409" s="5" t="s">
        <v>20</v>
      </c>
    </row>
    <row r="410" spans="1:14">
      <c r="A410" s="6" t="s">
        <v>138</v>
      </c>
      <c r="B410" s="6" t="s">
        <v>139</v>
      </c>
      <c r="C410" s="6"/>
      <c r="D410" s="6">
        <v>3623</v>
      </c>
      <c r="E410" s="6" t="s">
        <v>23</v>
      </c>
      <c r="F410" s="2" t="s">
        <v>24</v>
      </c>
      <c r="G410" s="2" t="s">
        <v>596</v>
      </c>
      <c r="H410" s="2" t="s">
        <v>26</v>
      </c>
      <c r="I410" s="2"/>
      <c r="J410" s="2">
        <v>1317687</v>
      </c>
      <c r="K410" s="2">
        <v>4410</v>
      </c>
      <c r="L410" s="2" t="s">
        <v>27</v>
      </c>
      <c r="M410" s="2" t="s">
        <v>28</v>
      </c>
      <c r="N410" s="2">
        <v>1234</v>
      </c>
    </row>
    <row r="411" spans="1:14">
      <c r="A411" s="6" t="s">
        <v>21</v>
      </c>
      <c r="B411" s="6" t="s">
        <v>22</v>
      </c>
      <c r="C411" s="6"/>
      <c r="D411" s="6">
        <v>3623</v>
      </c>
      <c r="E411" s="6" t="s">
        <v>23</v>
      </c>
      <c r="F411" s="2" t="s">
        <v>24</v>
      </c>
      <c r="G411" s="2" t="s">
        <v>597</v>
      </c>
      <c r="H411" s="2" t="s">
        <v>26</v>
      </c>
      <c r="I411" s="2"/>
      <c r="J411" s="2">
        <v>1319609</v>
      </c>
      <c r="K411" s="2">
        <v>4410</v>
      </c>
      <c r="L411" s="2" t="s">
        <v>27</v>
      </c>
      <c r="M411" s="2" t="s">
        <v>28</v>
      </c>
      <c r="N411" s="2">
        <v>10401</v>
      </c>
    </row>
    <row r="412" spans="1:14">
      <c r="A412" s="6" t="s">
        <v>29</v>
      </c>
      <c r="B412" s="6" t="s">
        <v>30</v>
      </c>
      <c r="C412" s="6"/>
      <c r="D412" s="6">
        <v>3623</v>
      </c>
      <c r="E412" s="6" t="s">
        <v>23</v>
      </c>
      <c r="F412" s="2" t="s">
        <v>24</v>
      </c>
      <c r="G412" s="2" t="s">
        <v>598</v>
      </c>
      <c r="H412" s="2" t="s">
        <v>26</v>
      </c>
      <c r="I412" s="2"/>
      <c r="J412" s="2">
        <v>1317599</v>
      </c>
      <c r="K412" s="2">
        <v>4410</v>
      </c>
      <c r="L412" s="2" t="s">
        <v>27</v>
      </c>
      <c r="M412" s="2" t="s">
        <v>28</v>
      </c>
      <c r="N412" s="2">
        <v>10402</v>
      </c>
    </row>
    <row r="413" spans="1:14">
      <c r="A413" s="6" t="s">
        <v>32</v>
      </c>
      <c r="B413" s="6" t="s">
        <v>33</v>
      </c>
      <c r="C413" s="6"/>
      <c r="D413" s="6">
        <v>3623</v>
      </c>
      <c r="E413" s="6" t="s">
        <v>23</v>
      </c>
      <c r="F413" s="2" t="s">
        <v>24</v>
      </c>
      <c r="G413" s="2" t="s">
        <v>599</v>
      </c>
      <c r="H413" s="2" t="s">
        <v>26</v>
      </c>
      <c r="I413" s="2"/>
      <c r="J413" s="2">
        <v>1318931</v>
      </c>
      <c r="K413" s="2">
        <v>4410</v>
      </c>
      <c r="L413" s="2" t="s">
        <v>27</v>
      </c>
      <c r="M413" s="2" t="s">
        <v>28</v>
      </c>
      <c r="N413" s="2">
        <v>10403</v>
      </c>
    </row>
    <row r="414" spans="1:14">
      <c r="A414" s="6" t="s">
        <v>35</v>
      </c>
      <c r="B414" s="6" t="s">
        <v>36</v>
      </c>
      <c r="C414" s="6"/>
      <c r="D414" s="6">
        <v>3623</v>
      </c>
      <c r="E414" s="6" t="s">
        <v>23</v>
      </c>
      <c r="F414" s="2" t="s">
        <v>24</v>
      </c>
      <c r="G414" s="2" t="s">
        <v>600</v>
      </c>
      <c r="H414" s="2" t="s">
        <v>26</v>
      </c>
      <c r="I414" s="2"/>
      <c r="J414" s="2">
        <v>1317642</v>
      </c>
      <c r="K414" s="2">
        <v>4410</v>
      </c>
      <c r="L414" s="2" t="s">
        <v>27</v>
      </c>
      <c r="M414" s="2" t="s">
        <v>28</v>
      </c>
      <c r="N414" s="2">
        <v>3125</v>
      </c>
    </row>
    <row r="415" spans="1:14">
      <c r="A415" s="6" t="s">
        <v>38</v>
      </c>
      <c r="B415" s="6" t="s">
        <v>39</v>
      </c>
      <c r="C415" s="6"/>
      <c r="D415" s="6">
        <v>3623</v>
      </c>
      <c r="E415" s="6" t="s">
        <v>23</v>
      </c>
      <c r="F415" s="2" t="s">
        <v>24</v>
      </c>
      <c r="G415" s="2" t="s">
        <v>601</v>
      </c>
      <c r="H415" s="2" t="s">
        <v>26</v>
      </c>
      <c r="I415" s="2"/>
      <c r="J415" s="2">
        <v>1317932</v>
      </c>
      <c r="K415" s="2">
        <v>4410</v>
      </c>
      <c r="L415" s="2" t="s">
        <v>27</v>
      </c>
      <c r="M415" s="2" t="s">
        <v>28</v>
      </c>
      <c r="N415" s="2">
        <v>10404</v>
      </c>
    </row>
    <row r="416" spans="1:14">
      <c r="A416" s="6" t="s">
        <v>41</v>
      </c>
      <c r="B416" s="6" t="s">
        <v>42</v>
      </c>
      <c r="C416" s="6"/>
      <c r="D416" s="6">
        <v>3623</v>
      </c>
      <c r="E416" s="6" t="s">
        <v>23</v>
      </c>
      <c r="F416" s="2" t="s">
        <v>24</v>
      </c>
      <c r="G416" s="2" t="s">
        <v>602</v>
      </c>
      <c r="H416" s="2" t="s">
        <v>26</v>
      </c>
      <c r="I416" s="2"/>
      <c r="J416" s="2">
        <v>1316837</v>
      </c>
      <c r="K416" s="2">
        <v>4410</v>
      </c>
      <c r="L416" s="2" t="s">
        <v>27</v>
      </c>
      <c r="M416" s="2" t="s">
        <v>28</v>
      </c>
      <c r="N416" s="2">
        <v>10405</v>
      </c>
    </row>
    <row r="417" spans="1:14">
      <c r="A417" s="6" t="s">
        <v>162</v>
      </c>
      <c r="B417" s="6" t="s">
        <v>163</v>
      </c>
      <c r="C417" s="6"/>
      <c r="D417" s="6">
        <v>3623</v>
      </c>
      <c r="E417" s="6" t="s">
        <v>23</v>
      </c>
      <c r="F417" s="2" t="s">
        <v>24</v>
      </c>
      <c r="G417" s="2" t="s">
        <v>603</v>
      </c>
      <c r="H417" s="2" t="s">
        <v>26</v>
      </c>
      <c r="I417" s="2"/>
      <c r="J417" s="2">
        <v>1318034</v>
      </c>
      <c r="K417" s="2">
        <v>4410</v>
      </c>
      <c r="L417" s="2" t="s">
        <v>27</v>
      </c>
      <c r="M417" s="2" t="s">
        <v>28</v>
      </c>
      <c r="N417" s="2">
        <v>10406</v>
      </c>
    </row>
    <row r="418" spans="1:14">
      <c r="A418" s="6" t="s">
        <v>44</v>
      </c>
      <c r="B418" s="6" t="s">
        <v>45</v>
      </c>
      <c r="C418" s="6"/>
      <c r="D418" s="6">
        <v>3623</v>
      </c>
      <c r="E418" s="6" t="s">
        <v>23</v>
      </c>
      <c r="F418" s="2" t="s">
        <v>24</v>
      </c>
      <c r="G418" s="2" t="s">
        <v>604</v>
      </c>
      <c r="H418" s="2" t="s">
        <v>26</v>
      </c>
      <c r="I418" s="2"/>
      <c r="J418" s="2">
        <v>1318923</v>
      </c>
      <c r="K418" s="2">
        <v>4410</v>
      </c>
      <c r="L418" s="2" t="s">
        <v>27</v>
      </c>
      <c r="M418" s="2" t="s">
        <v>28</v>
      </c>
      <c r="N418" s="2">
        <v>10407</v>
      </c>
    </row>
    <row r="419" spans="1:14">
      <c r="A419" s="6" t="s">
        <v>50</v>
      </c>
      <c r="B419" s="6" t="s">
        <v>51</v>
      </c>
      <c r="C419" s="6"/>
      <c r="D419" s="6">
        <v>3623</v>
      </c>
      <c r="E419" s="6" t="s">
        <v>23</v>
      </c>
      <c r="F419" s="2" t="s">
        <v>24</v>
      </c>
      <c r="G419" s="2" t="s">
        <v>605</v>
      </c>
      <c r="H419" s="2" t="s">
        <v>26</v>
      </c>
      <c r="I419" s="2"/>
      <c r="J419" s="2">
        <v>1318943</v>
      </c>
      <c r="K419" s="2">
        <v>4410</v>
      </c>
      <c r="L419" s="2" t="s">
        <v>27</v>
      </c>
      <c r="M419" s="2" t="s">
        <v>28</v>
      </c>
      <c r="N419" s="2">
        <v>10411</v>
      </c>
    </row>
    <row r="420" spans="1:14">
      <c r="A420" s="6" t="s">
        <v>53</v>
      </c>
      <c r="B420" s="6" t="s">
        <v>54</v>
      </c>
      <c r="C420" s="6"/>
      <c r="D420" s="6">
        <v>3623</v>
      </c>
      <c r="E420" s="6" t="s">
        <v>23</v>
      </c>
      <c r="F420" s="2" t="s">
        <v>24</v>
      </c>
      <c r="G420" s="2" t="s">
        <v>606</v>
      </c>
      <c r="H420" s="2" t="s">
        <v>26</v>
      </c>
      <c r="I420" s="2"/>
      <c r="J420" s="2">
        <v>1319618</v>
      </c>
      <c r="K420" s="2">
        <v>4410</v>
      </c>
      <c r="L420" s="2" t="s">
        <v>27</v>
      </c>
      <c r="M420" s="2" t="s">
        <v>28</v>
      </c>
      <c r="N420" s="2">
        <v>10412</v>
      </c>
    </row>
    <row r="421" spans="1:14">
      <c r="A421" s="6" t="s">
        <v>56</v>
      </c>
      <c r="B421" s="6" t="s">
        <v>57</v>
      </c>
      <c r="C421" s="6"/>
      <c r="D421" s="6">
        <v>3623</v>
      </c>
      <c r="E421" s="6" t="s">
        <v>23</v>
      </c>
      <c r="F421" s="2" t="s">
        <v>24</v>
      </c>
      <c r="G421" s="2" t="s">
        <v>607</v>
      </c>
      <c r="H421" s="2" t="s">
        <v>26</v>
      </c>
      <c r="I421" s="2"/>
      <c r="J421" s="2">
        <v>1319610</v>
      </c>
      <c r="K421" s="2">
        <v>4410</v>
      </c>
      <c r="L421" s="2" t="s">
        <v>27</v>
      </c>
      <c r="M421" s="2" t="s">
        <v>28</v>
      </c>
      <c r="N421" s="2">
        <v>10414</v>
      </c>
    </row>
    <row r="422" spans="1:14">
      <c r="A422" s="6" t="s">
        <v>59</v>
      </c>
      <c r="B422" s="6" t="s">
        <v>60</v>
      </c>
      <c r="C422" s="6"/>
      <c r="D422" s="6">
        <v>3623</v>
      </c>
      <c r="E422" s="6" t="s">
        <v>23</v>
      </c>
      <c r="F422" s="2" t="s">
        <v>24</v>
      </c>
      <c r="G422" s="2" t="s">
        <v>608</v>
      </c>
      <c r="H422" s="2" t="s">
        <v>26</v>
      </c>
      <c r="I422" s="2"/>
      <c r="J422" s="2">
        <v>1320376</v>
      </c>
      <c r="K422" s="2">
        <v>4410</v>
      </c>
      <c r="L422" s="2" t="s">
        <v>27</v>
      </c>
      <c r="M422" s="2" t="s">
        <v>28</v>
      </c>
      <c r="N422" s="2">
        <v>10487</v>
      </c>
    </row>
    <row r="423" spans="1:14">
      <c r="A423" s="6" t="s">
        <v>62</v>
      </c>
      <c r="B423" s="6" t="s">
        <v>63</v>
      </c>
      <c r="C423" s="6"/>
      <c r="D423" s="6">
        <v>3623</v>
      </c>
      <c r="E423" s="6" t="s">
        <v>23</v>
      </c>
      <c r="F423" s="2" t="s">
        <v>24</v>
      </c>
      <c r="G423" s="2" t="s">
        <v>609</v>
      </c>
      <c r="H423" s="2" t="s">
        <v>26</v>
      </c>
      <c r="I423" s="2"/>
      <c r="J423" s="2">
        <v>1317133</v>
      </c>
      <c r="K423" s="2">
        <v>4410</v>
      </c>
      <c r="L423" s="2" t="s">
        <v>27</v>
      </c>
      <c r="M423" s="2" t="s">
        <v>28</v>
      </c>
      <c r="N423" s="2">
        <v>10416</v>
      </c>
    </row>
    <row r="424" spans="1:14">
      <c r="A424" s="6" t="s">
        <v>65</v>
      </c>
      <c r="B424" s="6" t="s">
        <v>66</v>
      </c>
      <c r="C424" s="6"/>
      <c r="D424" s="6">
        <v>3623</v>
      </c>
      <c r="E424" s="6" t="s">
        <v>23</v>
      </c>
      <c r="F424" s="2" t="s">
        <v>24</v>
      </c>
      <c r="G424" s="2" t="s">
        <v>610</v>
      </c>
      <c r="H424" s="2" t="s">
        <v>26</v>
      </c>
      <c r="I424" s="2"/>
      <c r="J424" s="2">
        <v>1319312</v>
      </c>
      <c r="K424" s="2">
        <v>4410</v>
      </c>
      <c r="L424" s="2" t="s">
        <v>27</v>
      </c>
      <c r="M424" s="2" t="s">
        <v>28</v>
      </c>
      <c r="N424" s="2">
        <v>1253</v>
      </c>
    </row>
    <row r="425" spans="1:14">
      <c r="A425" s="6" t="s">
        <v>68</v>
      </c>
      <c r="B425" s="6" t="s">
        <v>69</v>
      </c>
      <c r="C425" s="6"/>
      <c r="D425" s="6">
        <v>3623</v>
      </c>
      <c r="E425" s="6" t="s">
        <v>23</v>
      </c>
      <c r="F425" s="2" t="s">
        <v>24</v>
      </c>
      <c r="G425" s="2" t="s">
        <v>611</v>
      </c>
      <c r="H425" s="2" t="s">
        <v>26</v>
      </c>
      <c r="I425" s="2"/>
      <c r="J425" s="2">
        <v>1317287</v>
      </c>
      <c r="K425" s="2">
        <v>4410</v>
      </c>
      <c r="L425" s="2" t="s">
        <v>27</v>
      </c>
      <c r="M425" s="2" t="s">
        <v>28</v>
      </c>
      <c r="N425" s="2">
        <v>8468</v>
      </c>
    </row>
    <row r="426" spans="1:14">
      <c r="A426" s="6" t="s">
        <v>71</v>
      </c>
      <c r="B426" s="6" t="s">
        <v>72</v>
      </c>
      <c r="C426" s="6"/>
      <c r="D426" s="6">
        <v>3623</v>
      </c>
      <c r="E426" s="6" t="s">
        <v>23</v>
      </c>
      <c r="F426" s="2" t="s">
        <v>24</v>
      </c>
      <c r="G426" s="2" t="s">
        <v>612</v>
      </c>
      <c r="H426" s="2" t="s">
        <v>26</v>
      </c>
      <c r="I426" s="2"/>
      <c r="J426" s="2">
        <v>1316815</v>
      </c>
      <c r="K426" s="2">
        <v>4410</v>
      </c>
      <c r="L426" s="2" t="s">
        <v>27</v>
      </c>
      <c r="M426" s="2" t="s">
        <v>28</v>
      </c>
      <c r="N426" s="2">
        <v>4578</v>
      </c>
    </row>
    <row r="427" spans="1:14">
      <c r="A427" s="6" t="s">
        <v>74</v>
      </c>
      <c r="B427" s="6" t="s">
        <v>75</v>
      </c>
      <c r="C427" s="6"/>
      <c r="D427" s="6">
        <v>3623</v>
      </c>
      <c r="E427" s="6" t="s">
        <v>23</v>
      </c>
      <c r="F427" s="2" t="s">
        <v>24</v>
      </c>
      <c r="G427" s="2" t="s">
        <v>613</v>
      </c>
      <c r="H427" s="2" t="s">
        <v>26</v>
      </c>
      <c r="I427" s="2"/>
      <c r="J427" s="2">
        <v>1317383</v>
      </c>
      <c r="K427" s="2">
        <v>4410</v>
      </c>
      <c r="L427" s="2" t="s">
        <v>27</v>
      </c>
      <c r="M427" s="2" t="s">
        <v>28</v>
      </c>
      <c r="N427" s="2">
        <v>10419</v>
      </c>
    </row>
    <row r="428" spans="1:14">
      <c r="A428" s="6" t="s">
        <v>77</v>
      </c>
      <c r="B428" s="6" t="s">
        <v>78</v>
      </c>
      <c r="C428" s="6"/>
      <c r="D428" s="6">
        <v>3623</v>
      </c>
      <c r="E428" s="6" t="s">
        <v>23</v>
      </c>
      <c r="F428" s="2" t="s">
        <v>24</v>
      </c>
      <c r="G428" s="2" t="s">
        <v>614</v>
      </c>
      <c r="H428" s="2" t="s">
        <v>26</v>
      </c>
      <c r="I428" s="2"/>
      <c r="J428" s="2">
        <v>1318951</v>
      </c>
      <c r="K428" s="2">
        <v>4410</v>
      </c>
      <c r="L428" s="2" t="s">
        <v>27</v>
      </c>
      <c r="M428" s="2" t="s">
        <v>28</v>
      </c>
      <c r="N428" s="2">
        <v>10420</v>
      </c>
    </row>
    <row r="429" spans="1:14">
      <c r="A429" s="6" t="s">
        <v>80</v>
      </c>
      <c r="B429" s="6" t="s">
        <v>81</v>
      </c>
      <c r="C429" s="6"/>
      <c r="D429" s="6">
        <v>3623</v>
      </c>
      <c r="E429" s="6" t="s">
        <v>23</v>
      </c>
      <c r="F429" s="2" t="s">
        <v>24</v>
      </c>
      <c r="G429" s="2" t="s">
        <v>615</v>
      </c>
      <c r="H429" s="2" t="s">
        <v>26</v>
      </c>
      <c r="I429" s="2"/>
      <c r="J429" s="2">
        <v>1316786</v>
      </c>
      <c r="K429" s="2">
        <v>4410</v>
      </c>
      <c r="L429" s="2" t="s">
        <v>27</v>
      </c>
      <c r="M429" s="2" t="s">
        <v>28</v>
      </c>
      <c r="N429" s="2">
        <v>10421</v>
      </c>
    </row>
    <row r="430" spans="1:14">
      <c r="A430" s="6" t="s">
        <v>83</v>
      </c>
      <c r="B430" s="6" t="s">
        <v>84</v>
      </c>
      <c r="C430" s="6"/>
      <c r="D430" s="6">
        <v>3623</v>
      </c>
      <c r="E430" s="6" t="s">
        <v>23</v>
      </c>
      <c r="F430" s="2" t="s">
        <v>24</v>
      </c>
      <c r="G430" s="2" t="s">
        <v>616</v>
      </c>
      <c r="H430" s="2" t="s">
        <v>26</v>
      </c>
      <c r="I430" s="2"/>
      <c r="J430" s="2">
        <v>1319380</v>
      </c>
      <c r="K430" s="2">
        <v>4410</v>
      </c>
      <c r="L430" s="2" t="s">
        <v>27</v>
      </c>
      <c r="M430" s="2" t="s">
        <v>28</v>
      </c>
      <c r="N430" s="2">
        <v>10422</v>
      </c>
    </row>
    <row r="431" spans="1:14">
      <c r="A431" s="6" t="s">
        <v>86</v>
      </c>
      <c r="B431" s="6" t="s">
        <v>87</v>
      </c>
      <c r="C431" s="6"/>
      <c r="D431" s="6">
        <v>3623</v>
      </c>
      <c r="E431" s="6" t="s">
        <v>23</v>
      </c>
      <c r="F431" s="2" t="s">
        <v>24</v>
      </c>
      <c r="G431" s="2" t="s">
        <v>617</v>
      </c>
      <c r="H431" s="2" t="s">
        <v>26</v>
      </c>
      <c r="I431" s="2"/>
      <c r="J431" s="2">
        <v>1317375</v>
      </c>
      <c r="K431" s="2">
        <v>4410</v>
      </c>
      <c r="L431" s="2" t="s">
        <v>27</v>
      </c>
      <c r="M431" s="2" t="s">
        <v>28</v>
      </c>
      <c r="N431" s="2">
        <v>10423</v>
      </c>
    </row>
    <row r="432" spans="1:14">
      <c r="A432" s="6" t="s">
        <v>89</v>
      </c>
      <c r="B432" s="6" t="s">
        <v>90</v>
      </c>
      <c r="C432" s="6"/>
      <c r="D432" s="6">
        <v>3623</v>
      </c>
      <c r="E432" s="6" t="s">
        <v>23</v>
      </c>
      <c r="F432" s="2" t="s">
        <v>24</v>
      </c>
      <c r="G432" s="2" t="s">
        <v>618</v>
      </c>
      <c r="H432" s="2" t="s">
        <v>26</v>
      </c>
      <c r="I432" s="2"/>
      <c r="J432" s="2">
        <v>1317050</v>
      </c>
      <c r="K432" s="2">
        <v>4410</v>
      </c>
      <c r="L432" s="2" t="s">
        <v>27</v>
      </c>
      <c r="M432" s="2" t="s">
        <v>28</v>
      </c>
      <c r="N432" s="2">
        <v>10424</v>
      </c>
    </row>
    <row r="433" spans="1:14">
      <c r="A433" s="6" t="s">
        <v>92</v>
      </c>
      <c r="B433" s="6" t="s">
        <v>93</v>
      </c>
      <c r="C433" s="6"/>
      <c r="D433" s="6">
        <v>3623</v>
      </c>
      <c r="E433" s="6" t="s">
        <v>23</v>
      </c>
      <c r="F433" s="2" t="s">
        <v>24</v>
      </c>
      <c r="G433" s="2" t="s">
        <v>619</v>
      </c>
      <c r="H433" s="2" t="s">
        <v>26</v>
      </c>
      <c r="I433" s="2"/>
      <c r="J433" s="2">
        <v>1319596</v>
      </c>
      <c r="K433" s="2">
        <v>4410</v>
      </c>
      <c r="L433" s="2" t="s">
        <v>27</v>
      </c>
      <c r="M433" s="2" t="s">
        <v>28</v>
      </c>
      <c r="N433" s="2">
        <v>10425</v>
      </c>
    </row>
    <row r="434" spans="1:14">
      <c r="A434" s="6" t="s">
        <v>95</v>
      </c>
      <c r="B434" s="6" t="s">
        <v>96</v>
      </c>
      <c r="C434" s="6"/>
      <c r="D434" s="6">
        <v>3623</v>
      </c>
      <c r="E434" s="6" t="s">
        <v>23</v>
      </c>
      <c r="F434" s="2" t="s">
        <v>24</v>
      </c>
      <c r="G434" s="2" t="s">
        <v>620</v>
      </c>
      <c r="H434" s="2" t="s">
        <v>26</v>
      </c>
      <c r="I434" s="2"/>
      <c r="J434" s="2">
        <v>1317586</v>
      </c>
      <c r="K434" s="2">
        <v>4410</v>
      </c>
      <c r="L434" s="2" t="s">
        <v>27</v>
      </c>
      <c r="M434" s="2" t="s">
        <v>28</v>
      </c>
      <c r="N434" s="2">
        <v>10426</v>
      </c>
    </row>
    <row r="435" spans="1:14">
      <c r="A435" s="7" t="s">
        <v>98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>
        <f>ROWS(A410:N434)</f>
        <v>25</v>
      </c>
    </row>
    <row r="436" spans="1:14">
      <c r="A436" s="7" t="s">
        <v>98</v>
      </c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>
        <f>ROWS(A410:N434)</f>
        <v>25</v>
      </c>
    </row>
    <row r="437" spans="1:14" customHeight="1" ht="20">
      <c r="A437" s="4" t="s">
        <v>621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customHeight="1" ht="20">
      <c r="A438" s="4" t="s">
        <v>519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11</v>
      </c>
      <c r="F439" s="5" t="s">
        <v>12</v>
      </c>
      <c r="G439" s="5" t="s">
        <v>13</v>
      </c>
      <c r="H439" s="5" t="s">
        <v>14</v>
      </c>
      <c r="I439" s="5" t="s">
        <v>15</v>
      </c>
      <c r="J439" s="5" t="s">
        <v>16</v>
      </c>
      <c r="K439" s="5" t="s">
        <v>17</v>
      </c>
      <c r="L439" s="5" t="s">
        <v>18</v>
      </c>
      <c r="M439" s="5" t="s">
        <v>19</v>
      </c>
      <c r="N439" s="5" t="s">
        <v>20</v>
      </c>
    </row>
    <row r="440" spans="1:14">
      <c r="A440" s="6" t="s">
        <v>520</v>
      </c>
      <c r="B440" s="6" t="s">
        <v>521</v>
      </c>
      <c r="C440" s="6"/>
      <c r="D440" s="6">
        <v>516</v>
      </c>
      <c r="E440" s="6" t="s">
        <v>23</v>
      </c>
      <c r="F440" s="2" t="s">
        <v>24</v>
      </c>
      <c r="G440" s="2" t="s">
        <v>622</v>
      </c>
      <c r="H440" s="2" t="s">
        <v>26</v>
      </c>
      <c r="I440" s="2"/>
      <c r="J440" s="2">
        <v>1317410</v>
      </c>
      <c r="K440" s="2">
        <v>4420</v>
      </c>
      <c r="L440" s="2" t="s">
        <v>27</v>
      </c>
      <c r="M440" s="2" t="s">
        <v>28</v>
      </c>
      <c r="N440" s="2">
        <v>12355</v>
      </c>
    </row>
    <row r="441" spans="1:14">
      <c r="A441" s="6" t="s">
        <v>523</v>
      </c>
      <c r="B441" s="6" t="s">
        <v>524</v>
      </c>
      <c r="C441" s="6"/>
      <c r="D441" s="6">
        <v>516</v>
      </c>
      <c r="E441" s="6" t="s">
        <v>23</v>
      </c>
      <c r="F441" s="2" t="s">
        <v>24</v>
      </c>
      <c r="G441" s="2" t="s">
        <v>623</v>
      </c>
      <c r="H441" s="2" t="s">
        <v>26</v>
      </c>
      <c r="I441" s="2"/>
      <c r="J441" s="2">
        <v>1319072</v>
      </c>
      <c r="K441" s="2">
        <v>4420</v>
      </c>
      <c r="L441" s="2" t="s">
        <v>27</v>
      </c>
      <c r="M441" s="2" t="s">
        <v>28</v>
      </c>
      <c r="N441" s="2">
        <v>12356</v>
      </c>
    </row>
    <row r="442" spans="1:14">
      <c r="A442" s="6" t="s">
        <v>526</v>
      </c>
      <c r="B442" s="6" t="s">
        <v>527</v>
      </c>
      <c r="C442" s="6"/>
      <c r="D442" s="6">
        <v>516</v>
      </c>
      <c r="E442" s="6" t="s">
        <v>23</v>
      </c>
      <c r="F442" s="2" t="s">
        <v>24</v>
      </c>
      <c r="G442" s="2" t="s">
        <v>624</v>
      </c>
      <c r="H442" s="2" t="s">
        <v>26</v>
      </c>
      <c r="I442" s="2"/>
      <c r="J442" s="2">
        <v>1317679</v>
      </c>
      <c r="K442" s="2">
        <v>4420</v>
      </c>
      <c r="L442" s="2" t="s">
        <v>27</v>
      </c>
      <c r="M442" s="2" t="s">
        <v>28</v>
      </c>
      <c r="N442" s="2">
        <v>12357</v>
      </c>
    </row>
    <row r="443" spans="1:14">
      <c r="A443" s="6" t="s">
        <v>529</v>
      </c>
      <c r="B443" s="6" t="s">
        <v>530</v>
      </c>
      <c r="C443" s="6"/>
      <c r="D443" s="6">
        <v>516</v>
      </c>
      <c r="E443" s="6" t="s">
        <v>23</v>
      </c>
      <c r="F443" s="2" t="s">
        <v>24</v>
      </c>
      <c r="G443" s="2" t="s">
        <v>625</v>
      </c>
      <c r="H443" s="2" t="s">
        <v>26</v>
      </c>
      <c r="I443" s="2"/>
      <c r="J443" s="2">
        <v>1317829</v>
      </c>
      <c r="K443" s="2">
        <v>4420</v>
      </c>
      <c r="L443" s="2" t="s">
        <v>27</v>
      </c>
      <c r="M443" s="2" t="s">
        <v>28</v>
      </c>
      <c r="N443" s="2">
        <v>12358</v>
      </c>
    </row>
    <row r="444" spans="1:14">
      <c r="A444" s="6" t="s">
        <v>532</v>
      </c>
      <c r="B444" s="6" t="s">
        <v>533</v>
      </c>
      <c r="C444" s="6"/>
      <c r="D444" s="6">
        <v>516</v>
      </c>
      <c r="E444" s="6" t="s">
        <v>23</v>
      </c>
      <c r="F444" s="2" t="s">
        <v>24</v>
      </c>
      <c r="G444" s="2" t="s">
        <v>626</v>
      </c>
      <c r="H444" s="2" t="s">
        <v>26</v>
      </c>
      <c r="I444" s="2"/>
      <c r="J444" s="2">
        <v>1318098</v>
      </c>
      <c r="K444" s="2">
        <v>4420</v>
      </c>
      <c r="L444" s="2" t="s">
        <v>27</v>
      </c>
      <c r="M444" s="2" t="s">
        <v>28</v>
      </c>
      <c r="N444" s="2">
        <v>12359</v>
      </c>
    </row>
    <row r="445" spans="1:14">
      <c r="A445" s="6" t="s">
        <v>535</v>
      </c>
      <c r="B445" s="6" t="s">
        <v>536</v>
      </c>
      <c r="C445" s="6"/>
      <c r="D445" s="6">
        <v>516</v>
      </c>
      <c r="E445" s="6" t="s">
        <v>23</v>
      </c>
      <c r="F445" s="2" t="s">
        <v>24</v>
      </c>
      <c r="G445" s="2" t="s">
        <v>627</v>
      </c>
      <c r="H445" s="2" t="s">
        <v>26</v>
      </c>
      <c r="I445" s="2"/>
      <c r="J445" s="2">
        <v>1319532</v>
      </c>
      <c r="K445" s="2">
        <v>4420</v>
      </c>
      <c r="L445" s="2" t="s">
        <v>27</v>
      </c>
      <c r="M445" s="2" t="s">
        <v>28</v>
      </c>
      <c r="N445" s="2">
        <v>12361</v>
      </c>
    </row>
    <row r="446" spans="1:14">
      <c r="A446" s="6" t="s">
        <v>538</v>
      </c>
      <c r="B446" s="6" t="s">
        <v>539</v>
      </c>
      <c r="C446" s="6"/>
      <c r="D446" s="6">
        <v>516</v>
      </c>
      <c r="E446" s="6" t="s">
        <v>23</v>
      </c>
      <c r="F446" s="2" t="s">
        <v>24</v>
      </c>
      <c r="G446" s="2" t="s">
        <v>628</v>
      </c>
      <c r="H446" s="2" t="s">
        <v>26</v>
      </c>
      <c r="I446" s="2"/>
      <c r="J446" s="2">
        <v>1318196</v>
      </c>
      <c r="K446" s="2">
        <v>4420</v>
      </c>
      <c r="L446" s="2" t="s">
        <v>27</v>
      </c>
      <c r="M446" s="2" t="s">
        <v>28</v>
      </c>
      <c r="N446" s="2">
        <v>12362</v>
      </c>
    </row>
    <row r="447" spans="1:14">
      <c r="A447" s="6" t="s">
        <v>541</v>
      </c>
      <c r="B447" s="6" t="s">
        <v>542</v>
      </c>
      <c r="C447" s="6"/>
      <c r="D447" s="6">
        <v>516</v>
      </c>
      <c r="E447" s="6" t="s">
        <v>23</v>
      </c>
      <c r="F447" s="2" t="s">
        <v>24</v>
      </c>
      <c r="G447" s="2" t="s">
        <v>629</v>
      </c>
      <c r="H447" s="2" t="s">
        <v>26</v>
      </c>
      <c r="I447" s="2"/>
      <c r="J447" s="2">
        <v>1319394</v>
      </c>
      <c r="K447" s="2">
        <v>4420</v>
      </c>
      <c r="L447" s="2" t="s">
        <v>27</v>
      </c>
      <c r="M447" s="2" t="s">
        <v>28</v>
      </c>
      <c r="N447" s="2">
        <v>12364</v>
      </c>
    </row>
    <row r="448" spans="1:14">
      <c r="A448" s="6" t="s">
        <v>544</v>
      </c>
      <c r="B448" s="6" t="s">
        <v>545</v>
      </c>
      <c r="C448" s="6"/>
      <c r="D448" s="6">
        <v>516</v>
      </c>
      <c r="E448" s="6" t="s">
        <v>23</v>
      </c>
      <c r="F448" s="2" t="s">
        <v>24</v>
      </c>
      <c r="G448" s="2" t="s">
        <v>630</v>
      </c>
      <c r="H448" s="2" t="s">
        <v>26</v>
      </c>
      <c r="I448" s="2"/>
      <c r="J448" s="2">
        <v>1320266</v>
      </c>
      <c r="K448" s="2">
        <v>4420</v>
      </c>
      <c r="L448" s="2" t="s">
        <v>27</v>
      </c>
      <c r="M448" s="2" t="s">
        <v>28</v>
      </c>
      <c r="N448" s="2">
        <v>1274</v>
      </c>
    </row>
    <row r="449" spans="1:14">
      <c r="A449" s="7" t="s">
        <v>98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>
        <f>ROWS(A440:N448)</f>
        <v>9</v>
      </c>
    </row>
    <row r="450" spans="1:14">
      <c r="A450" s="7" t="s">
        <v>98</v>
      </c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>
        <f>ROWS(A440:N448)</f>
        <v>9</v>
      </c>
    </row>
    <row r="451" spans="1:14" customHeight="1" ht="20">
      <c r="A451" s="4" t="s">
        <v>631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customHeight="1" ht="20">
      <c r="A452" s="4" t="s">
        <v>471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11</v>
      </c>
      <c r="F453" s="5" t="s">
        <v>12</v>
      </c>
      <c r="G453" s="5" t="s">
        <v>13</v>
      </c>
      <c r="H453" s="5" t="s">
        <v>14</v>
      </c>
      <c r="I453" s="5" t="s">
        <v>15</v>
      </c>
      <c r="J453" s="5" t="s">
        <v>16</v>
      </c>
      <c r="K453" s="5" t="s">
        <v>17</v>
      </c>
      <c r="L453" s="5" t="s">
        <v>18</v>
      </c>
      <c r="M453" s="5" t="s">
        <v>19</v>
      </c>
      <c r="N453" s="5" t="s">
        <v>20</v>
      </c>
    </row>
    <row r="454" spans="1:14">
      <c r="A454" s="6" t="s">
        <v>472</v>
      </c>
      <c r="B454" s="6" t="s">
        <v>473</v>
      </c>
      <c r="C454" s="6"/>
      <c r="D454" s="6">
        <v>3703</v>
      </c>
      <c r="E454" s="6" t="s">
        <v>23</v>
      </c>
      <c r="F454" s="2" t="s">
        <v>24</v>
      </c>
      <c r="G454" s="2" t="s">
        <v>632</v>
      </c>
      <c r="H454" s="2" t="s">
        <v>26</v>
      </c>
      <c r="I454" s="2"/>
      <c r="J454" s="2">
        <v>1317235</v>
      </c>
      <c r="K454" s="2">
        <v>4400</v>
      </c>
      <c r="L454" s="2" t="s">
        <v>27</v>
      </c>
      <c r="M454" s="2" t="s">
        <v>28</v>
      </c>
      <c r="N454" s="2">
        <v>10461</v>
      </c>
    </row>
    <row r="455" spans="1:14">
      <c r="A455" s="6" t="s">
        <v>476</v>
      </c>
      <c r="B455" s="6" t="s">
        <v>477</v>
      </c>
      <c r="C455" s="6"/>
      <c r="D455" s="6">
        <v>3703</v>
      </c>
      <c r="E455" s="6" t="s">
        <v>23</v>
      </c>
      <c r="F455" s="2" t="s">
        <v>24</v>
      </c>
      <c r="G455" s="2" t="s">
        <v>633</v>
      </c>
      <c r="H455" s="2" t="s">
        <v>26</v>
      </c>
      <c r="I455" s="2"/>
      <c r="J455" s="2">
        <v>1318998</v>
      </c>
      <c r="K455" s="2">
        <v>4400</v>
      </c>
      <c r="L455" s="2" t="s">
        <v>27</v>
      </c>
      <c r="M455" s="2" t="s">
        <v>28</v>
      </c>
      <c r="N455" s="2">
        <v>12370</v>
      </c>
    </row>
    <row r="456" spans="1:14">
      <c r="A456" s="6" t="s">
        <v>479</v>
      </c>
      <c r="B456" s="6" t="s">
        <v>480</v>
      </c>
      <c r="C456" s="6"/>
      <c r="D456" s="6">
        <v>3703</v>
      </c>
      <c r="E456" s="6" t="s">
        <v>23</v>
      </c>
      <c r="F456" s="2" t="s">
        <v>24</v>
      </c>
      <c r="G456" s="2" t="s">
        <v>634</v>
      </c>
      <c r="H456" s="2" t="s">
        <v>26</v>
      </c>
      <c r="I456" s="2"/>
      <c r="J456" s="2">
        <v>1317537</v>
      </c>
      <c r="K456" s="2">
        <v>4400</v>
      </c>
      <c r="L456" s="2" t="s">
        <v>27</v>
      </c>
      <c r="M456" s="2" t="s">
        <v>28</v>
      </c>
      <c r="N456" s="2">
        <v>12365</v>
      </c>
    </row>
    <row r="457" spans="1:14">
      <c r="A457" s="6" t="s">
        <v>482</v>
      </c>
      <c r="B457" s="6" t="s">
        <v>483</v>
      </c>
      <c r="C457" s="6"/>
      <c r="D457" s="6">
        <v>3703</v>
      </c>
      <c r="E457" s="6" t="s">
        <v>23</v>
      </c>
      <c r="F457" s="2" t="s">
        <v>24</v>
      </c>
      <c r="G457" s="2" t="s">
        <v>635</v>
      </c>
      <c r="H457" s="2" t="s">
        <v>26</v>
      </c>
      <c r="I457" s="2"/>
      <c r="J457" s="2">
        <v>1317360</v>
      </c>
      <c r="K457" s="2">
        <v>4400</v>
      </c>
      <c r="L457" s="2" t="s">
        <v>27</v>
      </c>
      <c r="M457" s="2" t="s">
        <v>28</v>
      </c>
      <c r="N457" s="2">
        <v>12366</v>
      </c>
    </row>
    <row r="458" spans="1:14">
      <c r="A458" s="6" t="s">
        <v>485</v>
      </c>
      <c r="B458" s="6" t="s">
        <v>486</v>
      </c>
      <c r="C458" s="6"/>
      <c r="D458" s="6">
        <v>3703</v>
      </c>
      <c r="E458" s="6" t="s">
        <v>23</v>
      </c>
      <c r="F458" s="2" t="s">
        <v>24</v>
      </c>
      <c r="G458" s="2" t="s">
        <v>636</v>
      </c>
      <c r="H458" s="2" t="s">
        <v>26</v>
      </c>
      <c r="I458" s="2"/>
      <c r="J458" s="2">
        <v>1316865</v>
      </c>
      <c r="K458" s="2">
        <v>4400</v>
      </c>
      <c r="L458" s="2" t="s">
        <v>27</v>
      </c>
      <c r="M458" s="2" t="s">
        <v>28</v>
      </c>
      <c r="N458" s="2">
        <v>12371</v>
      </c>
    </row>
    <row r="459" spans="1:14">
      <c r="A459" s="6" t="s">
        <v>488</v>
      </c>
      <c r="B459" s="6" t="s">
        <v>489</v>
      </c>
      <c r="C459" s="6"/>
      <c r="D459" s="6">
        <v>3703</v>
      </c>
      <c r="E459" s="6" t="s">
        <v>23</v>
      </c>
      <c r="F459" s="2" t="s">
        <v>24</v>
      </c>
      <c r="G459" s="2" t="s">
        <v>637</v>
      </c>
      <c r="H459" s="2" t="s">
        <v>26</v>
      </c>
      <c r="I459" s="2"/>
      <c r="J459" s="2">
        <v>1317795</v>
      </c>
      <c r="K459" s="2">
        <v>4400</v>
      </c>
      <c r="L459" s="2" t="s">
        <v>27</v>
      </c>
      <c r="M459" s="2" t="s">
        <v>28</v>
      </c>
      <c r="N459" s="2">
        <v>12372</v>
      </c>
    </row>
    <row r="460" spans="1:14">
      <c r="A460" s="6" t="s">
        <v>491</v>
      </c>
      <c r="B460" s="6" t="s">
        <v>492</v>
      </c>
      <c r="C460" s="6"/>
      <c r="D460" s="6">
        <v>3703</v>
      </c>
      <c r="E460" s="6" t="s">
        <v>23</v>
      </c>
      <c r="F460" s="2" t="s">
        <v>24</v>
      </c>
      <c r="G460" s="2" t="s">
        <v>638</v>
      </c>
      <c r="H460" s="2" t="s">
        <v>26</v>
      </c>
      <c r="I460" s="2"/>
      <c r="J460" s="2">
        <v>1318084</v>
      </c>
      <c r="K460" s="2">
        <v>4400</v>
      </c>
      <c r="L460" s="2" t="s">
        <v>27</v>
      </c>
      <c r="M460" s="2" t="s">
        <v>28</v>
      </c>
      <c r="N460" s="2">
        <v>12373</v>
      </c>
    </row>
    <row r="461" spans="1:14">
      <c r="A461" s="6" t="s">
        <v>494</v>
      </c>
      <c r="B461" s="6" t="s">
        <v>495</v>
      </c>
      <c r="C461" s="6"/>
      <c r="D461" s="6">
        <v>3703</v>
      </c>
      <c r="E461" s="6" t="s">
        <v>23</v>
      </c>
      <c r="F461" s="2" t="s">
        <v>24</v>
      </c>
      <c r="G461" s="2" t="s">
        <v>639</v>
      </c>
      <c r="H461" s="2" t="s">
        <v>26</v>
      </c>
      <c r="I461" s="2"/>
      <c r="J461" s="2">
        <v>1319550</v>
      </c>
      <c r="K461" s="2">
        <v>4400</v>
      </c>
      <c r="L461" s="2" t="s">
        <v>27</v>
      </c>
      <c r="M461" s="2" t="s">
        <v>28</v>
      </c>
      <c r="N461" s="2">
        <v>12374</v>
      </c>
    </row>
    <row r="462" spans="1:14">
      <c r="A462" s="6" t="s">
        <v>497</v>
      </c>
      <c r="B462" s="6" t="s">
        <v>498</v>
      </c>
      <c r="C462" s="6"/>
      <c r="D462" s="6">
        <v>3703</v>
      </c>
      <c r="E462" s="6" t="s">
        <v>23</v>
      </c>
      <c r="F462" s="2" t="s">
        <v>24</v>
      </c>
      <c r="G462" s="2" t="s">
        <v>640</v>
      </c>
      <c r="H462" s="2" t="s">
        <v>26</v>
      </c>
      <c r="I462" s="2"/>
      <c r="J462" s="2">
        <v>1323807</v>
      </c>
      <c r="K462" s="2">
        <v>4400</v>
      </c>
      <c r="L462" s="2" t="s">
        <v>27</v>
      </c>
      <c r="M462" s="2" t="s">
        <v>28</v>
      </c>
      <c r="N462" s="2">
        <v>12354</v>
      </c>
    </row>
    <row r="463" spans="1:14">
      <c r="A463" s="6" t="s">
        <v>500</v>
      </c>
      <c r="B463" s="6" t="s">
        <v>501</v>
      </c>
      <c r="C463" s="6"/>
      <c r="D463" s="6">
        <v>3703</v>
      </c>
      <c r="E463" s="6" t="s">
        <v>23</v>
      </c>
      <c r="F463" s="2" t="s">
        <v>24</v>
      </c>
      <c r="G463" s="2" t="s">
        <v>641</v>
      </c>
      <c r="H463" s="2" t="s">
        <v>26</v>
      </c>
      <c r="I463" s="2"/>
      <c r="J463" s="2">
        <v>1323792</v>
      </c>
      <c r="K463" s="2">
        <v>4400</v>
      </c>
      <c r="L463" s="2" t="s">
        <v>27</v>
      </c>
      <c r="M463" s="2" t="s">
        <v>28</v>
      </c>
      <c r="N463" s="2">
        <v>12363</v>
      </c>
    </row>
    <row r="464" spans="1:14">
      <c r="A464" s="7" t="s">
        <v>98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>
        <f>ROWS(A454:N463)</f>
        <v>10</v>
      </c>
    </row>
    <row r="465" spans="1:14">
      <c r="A465" s="7" t="s">
        <v>98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>
        <f>ROWS(A454:N463)</f>
        <v>10</v>
      </c>
    </row>
    <row r="466" spans="1:14" customHeight="1" ht="20">
      <c r="A466" s="4" t="s">
        <v>642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customHeight="1" ht="20">
      <c r="A467" s="4" t="s">
        <v>272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5" t="s">
        <v>7</v>
      </c>
      <c r="B468" s="5" t="s">
        <v>8</v>
      </c>
      <c r="C468" s="5" t="s">
        <v>9</v>
      </c>
      <c r="D468" s="5" t="s">
        <v>10</v>
      </c>
      <c r="E468" s="5" t="s">
        <v>11</v>
      </c>
      <c r="F468" s="5" t="s">
        <v>12</v>
      </c>
      <c r="G468" s="5" t="s">
        <v>13</v>
      </c>
      <c r="H468" s="5" t="s">
        <v>14</v>
      </c>
      <c r="I468" s="5" t="s">
        <v>15</v>
      </c>
      <c r="J468" s="5" t="s">
        <v>16</v>
      </c>
      <c r="K468" s="5" t="s">
        <v>17</v>
      </c>
      <c r="L468" s="5" t="s">
        <v>18</v>
      </c>
      <c r="M468" s="5" t="s">
        <v>19</v>
      </c>
      <c r="N468" s="5" t="s">
        <v>20</v>
      </c>
    </row>
    <row r="469" spans="1:14">
      <c r="A469" s="6" t="s">
        <v>273</v>
      </c>
      <c r="B469" s="6" t="s">
        <v>274</v>
      </c>
      <c r="C469" s="6"/>
      <c r="D469" s="6">
        <v>3517</v>
      </c>
      <c r="E469" s="6" t="s">
        <v>23</v>
      </c>
      <c r="F469" s="2" t="s">
        <v>24</v>
      </c>
      <c r="G469" s="2" t="s">
        <v>643</v>
      </c>
      <c r="H469" s="2" t="s">
        <v>26</v>
      </c>
      <c r="I469" s="2"/>
      <c r="J469" s="2">
        <v>1317607</v>
      </c>
      <c r="K469" s="2">
        <v>4418</v>
      </c>
      <c r="L469" s="2" t="s">
        <v>27</v>
      </c>
      <c r="M469" s="2" t="s">
        <v>28</v>
      </c>
      <c r="N469" s="2">
        <v>2666</v>
      </c>
    </row>
    <row r="470" spans="1:14">
      <c r="A470" s="6" t="s">
        <v>276</v>
      </c>
      <c r="B470" s="6" t="s">
        <v>277</v>
      </c>
      <c r="C470" s="6"/>
      <c r="D470" s="6">
        <v>3517</v>
      </c>
      <c r="E470" s="6" t="s">
        <v>23</v>
      </c>
      <c r="F470" s="2" t="s">
        <v>24</v>
      </c>
      <c r="G470" s="2" t="s">
        <v>644</v>
      </c>
      <c r="H470" s="2" t="s">
        <v>26</v>
      </c>
      <c r="I470" s="2"/>
      <c r="J470" s="2">
        <v>1317578</v>
      </c>
      <c r="K470" s="2">
        <v>4418</v>
      </c>
      <c r="L470" s="2" t="s">
        <v>27</v>
      </c>
      <c r="M470" s="2" t="s">
        <v>28</v>
      </c>
      <c r="N470" s="2">
        <v>10427</v>
      </c>
    </row>
    <row r="471" spans="1:14">
      <c r="A471" s="6" t="s">
        <v>279</v>
      </c>
      <c r="B471" s="6" t="s">
        <v>280</v>
      </c>
      <c r="C471" s="6"/>
      <c r="D471" s="6">
        <v>3517</v>
      </c>
      <c r="E471" s="6" t="s">
        <v>23</v>
      </c>
      <c r="F471" s="2" t="s">
        <v>24</v>
      </c>
      <c r="G471" s="2" t="s">
        <v>645</v>
      </c>
      <c r="H471" s="2" t="s">
        <v>26</v>
      </c>
      <c r="I471" s="2"/>
      <c r="J471" s="2">
        <v>1318636</v>
      </c>
      <c r="K471" s="2">
        <v>4418</v>
      </c>
      <c r="L471" s="2" t="s">
        <v>27</v>
      </c>
      <c r="M471" s="2" t="s">
        <v>28</v>
      </c>
      <c r="N471" s="2">
        <v>10428</v>
      </c>
    </row>
    <row r="472" spans="1:14">
      <c r="A472" s="6" t="s">
        <v>282</v>
      </c>
      <c r="B472" s="6" t="s">
        <v>283</v>
      </c>
      <c r="C472" s="6"/>
      <c r="D472" s="6">
        <v>3517</v>
      </c>
      <c r="E472" s="6" t="s">
        <v>23</v>
      </c>
      <c r="F472" s="2" t="s">
        <v>24</v>
      </c>
      <c r="G472" s="2" t="s">
        <v>646</v>
      </c>
      <c r="H472" s="2" t="s">
        <v>26</v>
      </c>
      <c r="I472" s="2"/>
      <c r="J472" s="2">
        <v>1323106</v>
      </c>
      <c r="K472" s="2">
        <v>4418</v>
      </c>
      <c r="L472" s="2" t="s">
        <v>27</v>
      </c>
      <c r="M472" s="2" t="s">
        <v>28</v>
      </c>
      <c r="N472" s="2">
        <v>10499</v>
      </c>
    </row>
    <row r="473" spans="1:14">
      <c r="A473" s="6" t="s">
        <v>285</v>
      </c>
      <c r="B473" s="6" t="s">
        <v>286</v>
      </c>
      <c r="C473" s="6"/>
      <c r="D473" s="6">
        <v>3517</v>
      </c>
      <c r="E473" s="6" t="s">
        <v>23</v>
      </c>
      <c r="F473" s="2" t="s">
        <v>24</v>
      </c>
      <c r="G473" s="2" t="s">
        <v>647</v>
      </c>
      <c r="H473" s="2" t="s">
        <v>26</v>
      </c>
      <c r="I473" s="2"/>
      <c r="J473" s="2">
        <v>1318962</v>
      </c>
      <c r="K473" s="2">
        <v>4418</v>
      </c>
      <c r="L473" s="2" t="s">
        <v>27</v>
      </c>
      <c r="M473" s="2" t="s">
        <v>28</v>
      </c>
      <c r="N473" s="2">
        <v>10429</v>
      </c>
    </row>
    <row r="474" spans="1:14">
      <c r="A474" s="6" t="s">
        <v>288</v>
      </c>
      <c r="B474" s="6" t="s">
        <v>289</v>
      </c>
      <c r="C474" s="6"/>
      <c r="D474" s="6">
        <v>3517</v>
      </c>
      <c r="E474" s="6" t="s">
        <v>23</v>
      </c>
      <c r="F474" s="2" t="s">
        <v>24</v>
      </c>
      <c r="G474" s="2" t="s">
        <v>648</v>
      </c>
      <c r="H474" s="2" t="s">
        <v>26</v>
      </c>
      <c r="I474" s="2"/>
      <c r="J474" s="2">
        <v>1322206</v>
      </c>
      <c r="K474" s="2">
        <v>4418</v>
      </c>
      <c r="L474" s="2" t="s">
        <v>27</v>
      </c>
      <c r="M474" s="2" t="s">
        <v>28</v>
      </c>
      <c r="N474" s="2">
        <v>10430</v>
      </c>
    </row>
    <row r="475" spans="1:14">
      <c r="A475" s="6" t="s">
        <v>291</v>
      </c>
      <c r="B475" s="6" t="s">
        <v>292</v>
      </c>
      <c r="C475" s="6"/>
      <c r="D475" s="6">
        <v>3517</v>
      </c>
      <c r="E475" s="6" t="s">
        <v>23</v>
      </c>
      <c r="F475" s="2" t="s">
        <v>24</v>
      </c>
      <c r="G475" s="2" t="s">
        <v>649</v>
      </c>
      <c r="H475" s="2" t="s">
        <v>26</v>
      </c>
      <c r="I475" s="2"/>
      <c r="J475" s="2">
        <v>1318216</v>
      </c>
      <c r="K475" s="2">
        <v>4418</v>
      </c>
      <c r="L475" s="2" t="s">
        <v>27</v>
      </c>
      <c r="M475" s="2" t="s">
        <v>28</v>
      </c>
      <c r="N475" s="2">
        <v>10431</v>
      </c>
    </row>
    <row r="476" spans="1:14">
      <c r="A476" s="6" t="s">
        <v>294</v>
      </c>
      <c r="B476" s="6" t="s">
        <v>295</v>
      </c>
      <c r="C476" s="6"/>
      <c r="D476" s="6">
        <v>3517</v>
      </c>
      <c r="E476" s="6" t="s">
        <v>23</v>
      </c>
      <c r="F476" s="2" t="s">
        <v>24</v>
      </c>
      <c r="G476" s="2" t="s">
        <v>650</v>
      </c>
      <c r="H476" s="2" t="s">
        <v>26</v>
      </c>
      <c r="I476" s="2"/>
      <c r="J476" s="2">
        <v>1318912</v>
      </c>
      <c r="K476" s="2">
        <v>4418</v>
      </c>
      <c r="L476" s="2" t="s">
        <v>27</v>
      </c>
      <c r="M476" s="2" t="s">
        <v>28</v>
      </c>
      <c r="N476" s="2">
        <v>10432</v>
      </c>
    </row>
    <row r="477" spans="1:14">
      <c r="A477" s="6" t="s">
        <v>297</v>
      </c>
      <c r="B477" s="6" t="s">
        <v>298</v>
      </c>
      <c r="C477" s="6"/>
      <c r="D477" s="6">
        <v>3517</v>
      </c>
      <c r="E477" s="6" t="s">
        <v>23</v>
      </c>
      <c r="F477" s="2" t="s">
        <v>24</v>
      </c>
      <c r="G477" s="2" t="s">
        <v>651</v>
      </c>
      <c r="H477" s="2" t="s">
        <v>26</v>
      </c>
      <c r="I477" s="2"/>
      <c r="J477" s="2">
        <v>1317719</v>
      </c>
      <c r="K477" s="2">
        <v>4418</v>
      </c>
      <c r="L477" s="2" t="s">
        <v>27</v>
      </c>
      <c r="M477" s="2" t="s">
        <v>28</v>
      </c>
      <c r="N477" s="2">
        <v>10434</v>
      </c>
    </row>
    <row r="478" spans="1:14">
      <c r="A478" s="6" t="s">
        <v>300</v>
      </c>
      <c r="B478" s="6" t="s">
        <v>301</v>
      </c>
      <c r="C478" s="6"/>
      <c r="D478" s="6">
        <v>3517</v>
      </c>
      <c r="E478" s="6" t="s">
        <v>23</v>
      </c>
      <c r="F478" s="2" t="s">
        <v>24</v>
      </c>
      <c r="G478" s="2" t="s">
        <v>652</v>
      </c>
      <c r="H478" s="2" t="s">
        <v>26</v>
      </c>
      <c r="I478" s="2"/>
      <c r="J478" s="2">
        <v>1317872</v>
      </c>
      <c r="K478" s="2">
        <v>4418</v>
      </c>
      <c r="L478" s="2" t="s">
        <v>27</v>
      </c>
      <c r="M478" s="2" t="s">
        <v>28</v>
      </c>
      <c r="N478" s="2">
        <v>10435</v>
      </c>
    </row>
    <row r="479" spans="1:14">
      <c r="A479" s="6" t="s">
        <v>303</v>
      </c>
      <c r="B479" s="6" t="s">
        <v>304</v>
      </c>
      <c r="C479" s="6"/>
      <c r="D479" s="6">
        <v>3517</v>
      </c>
      <c r="E479" s="6" t="s">
        <v>23</v>
      </c>
      <c r="F479" s="2" t="s">
        <v>24</v>
      </c>
      <c r="G479" s="2" t="s">
        <v>653</v>
      </c>
      <c r="H479" s="2" t="s">
        <v>26</v>
      </c>
      <c r="I479" s="2"/>
      <c r="J479" s="2">
        <v>1318654</v>
      </c>
      <c r="K479" s="2">
        <v>4418</v>
      </c>
      <c r="L479" s="2" t="s">
        <v>27</v>
      </c>
      <c r="M479" s="2" t="s">
        <v>28</v>
      </c>
      <c r="N479" s="2">
        <v>10436</v>
      </c>
    </row>
    <row r="480" spans="1:14">
      <c r="A480" s="6" t="s">
        <v>306</v>
      </c>
      <c r="B480" s="6" t="s">
        <v>307</v>
      </c>
      <c r="C480" s="6"/>
      <c r="D480" s="6">
        <v>3517</v>
      </c>
      <c r="E480" s="6" t="s">
        <v>23</v>
      </c>
      <c r="F480" s="2" t="s">
        <v>24</v>
      </c>
      <c r="G480" s="2" t="s">
        <v>654</v>
      </c>
      <c r="H480" s="2" t="s">
        <v>26</v>
      </c>
      <c r="I480" s="2"/>
      <c r="J480" s="2">
        <v>1318167</v>
      </c>
      <c r="K480" s="2">
        <v>4418</v>
      </c>
      <c r="L480" s="2" t="s">
        <v>27</v>
      </c>
      <c r="M480" s="2" t="s">
        <v>28</v>
      </c>
      <c r="N480" s="2">
        <v>10437</v>
      </c>
    </row>
    <row r="481" spans="1:14">
      <c r="A481" s="6" t="s">
        <v>309</v>
      </c>
      <c r="B481" s="6" t="s">
        <v>310</v>
      </c>
      <c r="C481" s="6"/>
      <c r="D481" s="6">
        <v>3517</v>
      </c>
      <c r="E481" s="6" t="s">
        <v>23</v>
      </c>
      <c r="F481" s="2" t="s">
        <v>24</v>
      </c>
      <c r="G481" s="2" t="s">
        <v>655</v>
      </c>
      <c r="H481" s="2" t="s">
        <v>26</v>
      </c>
      <c r="I481" s="2"/>
      <c r="J481" s="2">
        <v>1319077</v>
      </c>
      <c r="K481" s="2">
        <v>4418</v>
      </c>
      <c r="L481" s="2" t="s">
        <v>27</v>
      </c>
      <c r="M481" s="2" t="s">
        <v>28</v>
      </c>
      <c r="N481" s="2">
        <v>10438</v>
      </c>
    </row>
    <row r="482" spans="1:14">
      <c r="A482" s="7" t="s">
        <v>98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>
        <f>ROWS(A469:N481)</f>
        <v>13</v>
      </c>
    </row>
    <row r="483" spans="1:14">
      <c r="A483" s="7" t="s">
        <v>98</v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>
        <f>ROWS(A469:N481)</f>
        <v>13</v>
      </c>
    </row>
    <row r="484" spans="1:14" customHeight="1" ht="20">
      <c r="A484" s="4" t="s">
        <v>656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customHeight="1" ht="20">
      <c r="A485" s="4" t="s">
        <v>108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5" t="s">
        <v>7</v>
      </c>
      <c r="B486" s="5" t="s">
        <v>8</v>
      </c>
      <c r="C486" s="5" t="s">
        <v>9</v>
      </c>
      <c r="D486" s="5" t="s">
        <v>10</v>
      </c>
      <c r="E486" s="5" t="s">
        <v>11</v>
      </c>
      <c r="F486" s="5" t="s">
        <v>12</v>
      </c>
      <c r="G486" s="5" t="s">
        <v>13</v>
      </c>
      <c r="H486" s="5" t="s">
        <v>14</v>
      </c>
      <c r="I486" s="5" t="s">
        <v>15</v>
      </c>
      <c r="J486" s="5" t="s">
        <v>16</v>
      </c>
      <c r="K486" s="5" t="s">
        <v>17</v>
      </c>
      <c r="L486" s="5" t="s">
        <v>18</v>
      </c>
      <c r="M486" s="5" t="s">
        <v>19</v>
      </c>
      <c r="N486" s="5" t="s">
        <v>20</v>
      </c>
    </row>
    <row r="487" spans="1:14">
      <c r="A487" s="6" t="s">
        <v>657</v>
      </c>
      <c r="B487" s="6" t="s">
        <v>658</v>
      </c>
      <c r="C487" s="6"/>
      <c r="D487" s="6">
        <v>3118</v>
      </c>
      <c r="E487" s="6" t="s">
        <v>23</v>
      </c>
      <c r="F487" s="2" t="s">
        <v>24</v>
      </c>
      <c r="G487" s="2" t="s">
        <v>659</v>
      </c>
      <c r="H487" s="2" t="s">
        <v>26</v>
      </c>
      <c r="I487" s="2"/>
      <c r="J487" s="2">
        <v>1319428</v>
      </c>
      <c r="K487" s="2">
        <v>4393</v>
      </c>
      <c r="L487" s="2" t="s">
        <v>27</v>
      </c>
      <c r="M487" s="2" t="s">
        <v>28</v>
      </c>
      <c r="N487" s="2">
        <v>10609</v>
      </c>
    </row>
    <row r="488" spans="1:14">
      <c r="A488" s="6" t="s">
        <v>660</v>
      </c>
      <c r="B488" s="6" t="s">
        <v>661</v>
      </c>
      <c r="C488" s="6"/>
      <c r="D488" s="6">
        <v>3118</v>
      </c>
      <c r="E488" s="6" t="s">
        <v>23</v>
      </c>
      <c r="F488" s="2" t="s">
        <v>24</v>
      </c>
      <c r="G488" s="2" t="s">
        <v>662</v>
      </c>
      <c r="H488" s="2" t="s">
        <v>26</v>
      </c>
      <c r="I488" s="2"/>
      <c r="J488" s="2">
        <v>1317119</v>
      </c>
      <c r="K488" s="2">
        <v>4393</v>
      </c>
      <c r="L488" s="2" t="s">
        <v>27</v>
      </c>
      <c r="M488" s="2" t="s">
        <v>28</v>
      </c>
      <c r="N488" s="2">
        <v>8666</v>
      </c>
    </row>
    <row r="489" spans="1:14">
      <c r="A489" s="6" t="s">
        <v>663</v>
      </c>
      <c r="B489" s="6" t="s">
        <v>664</v>
      </c>
      <c r="C489" s="6"/>
      <c r="D489" s="6">
        <v>3118</v>
      </c>
      <c r="E489" s="6" t="s">
        <v>23</v>
      </c>
      <c r="F489" s="2" t="s">
        <v>24</v>
      </c>
      <c r="G489" s="2" t="s">
        <v>665</v>
      </c>
      <c r="H489" s="2" t="s">
        <v>26</v>
      </c>
      <c r="I489" s="2"/>
      <c r="J489" s="2">
        <v>1329413</v>
      </c>
      <c r="K489" s="2">
        <v>4393</v>
      </c>
      <c r="L489" s="2" t="s">
        <v>27</v>
      </c>
      <c r="M489" s="2" t="s">
        <v>28</v>
      </c>
      <c r="N489" s="2">
        <v>8663</v>
      </c>
    </row>
    <row r="490" spans="1:14">
      <c r="A490" s="6" t="s">
        <v>666</v>
      </c>
      <c r="B490" s="6" t="s">
        <v>667</v>
      </c>
      <c r="C490" s="6"/>
      <c r="D490" s="6">
        <v>3118</v>
      </c>
      <c r="E490" s="6" t="s">
        <v>23</v>
      </c>
      <c r="F490" s="2" t="s">
        <v>24</v>
      </c>
      <c r="G490" s="2" t="s">
        <v>668</v>
      </c>
      <c r="H490" s="2" t="s">
        <v>26</v>
      </c>
      <c r="I490" s="2"/>
      <c r="J490" s="2">
        <v>1317457</v>
      </c>
      <c r="K490" s="2">
        <v>4393</v>
      </c>
      <c r="L490" s="2" t="s">
        <v>27</v>
      </c>
      <c r="M490" s="2" t="s">
        <v>28</v>
      </c>
      <c r="N490" s="2">
        <v>10400</v>
      </c>
    </row>
    <row r="491" spans="1:14">
      <c r="A491" s="6" t="s">
        <v>112</v>
      </c>
      <c r="B491" s="6" t="s">
        <v>113</v>
      </c>
      <c r="C491" s="6"/>
      <c r="D491" s="6">
        <v>3118</v>
      </c>
      <c r="E491" s="6" t="s">
        <v>23</v>
      </c>
      <c r="F491" s="2" t="s">
        <v>24</v>
      </c>
      <c r="G491" s="2" t="s">
        <v>669</v>
      </c>
      <c r="H491" s="2" t="s">
        <v>26</v>
      </c>
      <c r="I491" s="2"/>
      <c r="J491" s="2">
        <v>1319147</v>
      </c>
      <c r="K491" s="2">
        <v>4393</v>
      </c>
      <c r="L491" s="2" t="s">
        <v>27</v>
      </c>
      <c r="M491" s="2" t="s">
        <v>28</v>
      </c>
      <c r="N491" s="2">
        <v>12312</v>
      </c>
    </row>
    <row r="492" spans="1:14">
      <c r="A492" s="6" t="s">
        <v>115</v>
      </c>
      <c r="B492" s="6" t="s">
        <v>116</v>
      </c>
      <c r="C492" s="6"/>
      <c r="D492" s="6">
        <v>3118</v>
      </c>
      <c r="E492" s="6" t="s">
        <v>23</v>
      </c>
      <c r="F492" s="2" t="s">
        <v>24</v>
      </c>
      <c r="G492" s="2" t="s">
        <v>670</v>
      </c>
      <c r="H492" s="2" t="s">
        <v>26</v>
      </c>
      <c r="I492" s="2"/>
      <c r="J492" s="2">
        <v>1316796</v>
      </c>
      <c r="K492" s="2">
        <v>4393</v>
      </c>
      <c r="L492" s="2" t="s">
        <v>27</v>
      </c>
      <c r="M492" s="2" t="s">
        <v>28</v>
      </c>
      <c r="N492" s="2">
        <v>12313</v>
      </c>
    </row>
    <row r="493" spans="1:14">
      <c r="A493" s="6" t="s">
        <v>118</v>
      </c>
      <c r="B493" s="6" t="s">
        <v>119</v>
      </c>
      <c r="C493" s="6"/>
      <c r="D493" s="6">
        <v>3118</v>
      </c>
      <c r="E493" s="6" t="s">
        <v>23</v>
      </c>
      <c r="F493" s="2" t="s">
        <v>24</v>
      </c>
      <c r="G493" s="2" t="s">
        <v>671</v>
      </c>
      <c r="H493" s="2" t="s">
        <v>26</v>
      </c>
      <c r="I493" s="2"/>
      <c r="J493" s="2">
        <v>1320259</v>
      </c>
      <c r="K493" s="2">
        <v>4393</v>
      </c>
      <c r="L493" s="2" t="s">
        <v>27</v>
      </c>
      <c r="M493" s="2" t="s">
        <v>28</v>
      </c>
      <c r="N493" s="2">
        <v>10394</v>
      </c>
    </row>
    <row r="494" spans="1:14">
      <c r="A494" s="6" t="s">
        <v>672</v>
      </c>
      <c r="B494" s="6" t="s">
        <v>673</v>
      </c>
      <c r="C494" s="6"/>
      <c r="D494" s="6">
        <v>3118</v>
      </c>
      <c r="E494" s="6" t="s">
        <v>23</v>
      </c>
      <c r="F494" s="2" t="s">
        <v>24</v>
      </c>
      <c r="G494" s="2" t="s">
        <v>674</v>
      </c>
      <c r="H494" s="2" t="s">
        <v>26</v>
      </c>
      <c r="I494" s="2"/>
      <c r="J494" s="2">
        <v>1318164</v>
      </c>
      <c r="K494" s="2">
        <v>4393</v>
      </c>
      <c r="L494" s="2" t="s">
        <v>27</v>
      </c>
      <c r="M494" s="2" t="s">
        <v>28</v>
      </c>
      <c r="N494" s="2">
        <v>10608</v>
      </c>
    </row>
    <row r="495" spans="1:14">
      <c r="A495" s="7" t="s">
        <v>98</v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>
        <f>ROWS(A487:N494)</f>
        <v>8</v>
      </c>
    </row>
    <row r="496" spans="1:14" customHeight="1" ht="20">
      <c r="A496" s="4" t="s">
        <v>331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11</v>
      </c>
      <c r="F497" s="5" t="s">
        <v>12</v>
      </c>
      <c r="G497" s="5" t="s">
        <v>13</v>
      </c>
      <c r="H497" s="5" t="s">
        <v>14</v>
      </c>
      <c r="I497" s="5" t="s">
        <v>15</v>
      </c>
      <c r="J497" s="5" t="s">
        <v>16</v>
      </c>
      <c r="K497" s="5" t="s">
        <v>17</v>
      </c>
      <c r="L497" s="5" t="s">
        <v>18</v>
      </c>
      <c r="M497" s="5" t="s">
        <v>19</v>
      </c>
      <c r="N497" s="5" t="s">
        <v>20</v>
      </c>
    </row>
    <row r="498" spans="1:14">
      <c r="A498" s="6" t="s">
        <v>675</v>
      </c>
      <c r="B498" s="6" t="s">
        <v>676</v>
      </c>
      <c r="C498" s="6"/>
      <c r="D498" s="6">
        <v>3118</v>
      </c>
      <c r="E498" s="6" t="s">
        <v>23</v>
      </c>
      <c r="F498" s="2" t="s">
        <v>24</v>
      </c>
      <c r="G498" s="2" t="s">
        <v>677</v>
      </c>
      <c r="H498" s="2" t="s">
        <v>26</v>
      </c>
      <c r="I498" s="2"/>
      <c r="J498" s="2">
        <v>1318059</v>
      </c>
      <c r="K498" s="2">
        <v>4393</v>
      </c>
      <c r="L498" s="2" t="s">
        <v>27</v>
      </c>
      <c r="M498" s="2" t="s">
        <v>28</v>
      </c>
      <c r="N498" s="2">
        <v>10390</v>
      </c>
    </row>
    <row r="499" spans="1:14">
      <c r="A499" s="6" t="s">
        <v>350</v>
      </c>
      <c r="B499" s="6" t="s">
        <v>351</v>
      </c>
      <c r="C499" s="6"/>
      <c r="D499" s="6">
        <v>3118</v>
      </c>
      <c r="E499" s="6" t="s">
        <v>23</v>
      </c>
      <c r="F499" s="2" t="s">
        <v>24</v>
      </c>
      <c r="G499" s="2" t="s">
        <v>678</v>
      </c>
      <c r="H499" s="2" t="s">
        <v>26</v>
      </c>
      <c r="I499" s="2"/>
      <c r="J499" s="2">
        <v>1317078</v>
      </c>
      <c r="K499" s="2">
        <v>4393</v>
      </c>
      <c r="L499" s="2" t="s">
        <v>27</v>
      </c>
      <c r="M499" s="2" t="s">
        <v>28</v>
      </c>
      <c r="N499" s="2">
        <v>2945</v>
      </c>
    </row>
    <row r="500" spans="1:14">
      <c r="A500" s="7" t="s">
        <v>98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>
        <f>ROWS(A498:N499)</f>
        <v>2</v>
      </c>
    </row>
    <row r="501" spans="1:14" customHeight="1" ht="20">
      <c r="A501" s="4" t="s">
        <v>124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5" t="s">
        <v>7</v>
      </c>
      <c r="B502" s="5" t="s">
        <v>8</v>
      </c>
      <c r="C502" s="5" t="s">
        <v>9</v>
      </c>
      <c r="D502" s="5" t="s">
        <v>10</v>
      </c>
      <c r="E502" s="5" t="s">
        <v>11</v>
      </c>
      <c r="F502" s="5" t="s">
        <v>12</v>
      </c>
      <c r="G502" s="5" t="s">
        <v>13</v>
      </c>
      <c r="H502" s="5" t="s">
        <v>14</v>
      </c>
      <c r="I502" s="5" t="s">
        <v>15</v>
      </c>
      <c r="J502" s="5" t="s">
        <v>16</v>
      </c>
      <c r="K502" s="5" t="s">
        <v>17</v>
      </c>
      <c r="L502" s="5" t="s">
        <v>18</v>
      </c>
      <c r="M502" s="5" t="s">
        <v>19</v>
      </c>
      <c r="N502" s="5" t="s">
        <v>20</v>
      </c>
    </row>
    <row r="503" spans="1:14">
      <c r="A503" s="6" t="s">
        <v>134</v>
      </c>
      <c r="B503" s="6" t="s">
        <v>135</v>
      </c>
      <c r="C503" s="6"/>
      <c r="D503" s="6">
        <v>3118</v>
      </c>
      <c r="E503" s="6" t="s">
        <v>23</v>
      </c>
      <c r="F503" s="2" t="s">
        <v>24</v>
      </c>
      <c r="G503" s="2" t="s">
        <v>679</v>
      </c>
      <c r="H503" s="2" t="s">
        <v>26</v>
      </c>
      <c r="I503" s="2"/>
      <c r="J503" s="2">
        <v>1319260</v>
      </c>
      <c r="K503" s="2">
        <v>4393</v>
      </c>
      <c r="L503" s="2" t="s">
        <v>27</v>
      </c>
      <c r="M503" s="2" t="s">
        <v>28</v>
      </c>
      <c r="N503" s="2">
        <v>12466</v>
      </c>
    </row>
    <row r="504" spans="1:14">
      <c r="A504" s="7" t="s">
        <v>98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>
        <f>ROWS(A503:N503)</f>
        <v>1</v>
      </c>
    </row>
    <row r="505" spans="1:14">
      <c r="A505" s="7" t="s">
        <v>98</v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>
        <f>ROWS(A487:N494) + ROWS(A498:N499) + ROWS(A503:N503)</f>
        <v>11</v>
      </c>
    </row>
    <row r="506" spans="1:14" customHeight="1" ht="20">
      <c r="A506" s="4" t="s">
        <v>680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customHeight="1" ht="20">
      <c r="A507" s="4" t="s">
        <v>100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5" t="s">
        <v>7</v>
      </c>
      <c r="B508" s="5" t="s">
        <v>8</v>
      </c>
      <c r="C508" s="5" t="s">
        <v>9</v>
      </c>
      <c r="D508" s="5" t="s">
        <v>10</v>
      </c>
      <c r="E508" s="5" t="s">
        <v>11</v>
      </c>
      <c r="F508" s="5" t="s">
        <v>12</v>
      </c>
      <c r="G508" s="5" t="s">
        <v>13</v>
      </c>
      <c r="H508" s="5" t="s">
        <v>14</v>
      </c>
      <c r="I508" s="5" t="s">
        <v>15</v>
      </c>
      <c r="J508" s="5" t="s">
        <v>16</v>
      </c>
      <c r="K508" s="5" t="s">
        <v>17</v>
      </c>
      <c r="L508" s="5" t="s">
        <v>18</v>
      </c>
      <c r="M508" s="5" t="s">
        <v>19</v>
      </c>
      <c r="N508" s="5" t="s">
        <v>20</v>
      </c>
    </row>
    <row r="509" spans="1:14">
      <c r="A509" s="6" t="s">
        <v>101</v>
      </c>
      <c r="B509" s="6" t="s">
        <v>102</v>
      </c>
      <c r="C509" s="6"/>
      <c r="D509" s="6">
        <v>950</v>
      </c>
      <c r="E509" s="6" t="s">
        <v>23</v>
      </c>
      <c r="F509" s="2" t="s">
        <v>24</v>
      </c>
      <c r="G509" s="2" t="s">
        <v>681</v>
      </c>
      <c r="H509" s="2" t="s">
        <v>26</v>
      </c>
      <c r="I509" s="2"/>
      <c r="J509" s="2">
        <v>1318527</v>
      </c>
      <c r="K509" s="2">
        <v>4395</v>
      </c>
      <c r="L509" s="2" t="s">
        <v>27</v>
      </c>
      <c r="M509" s="2" t="s">
        <v>28</v>
      </c>
      <c r="N509" s="2">
        <v>6618</v>
      </c>
    </row>
    <row r="510" spans="1:14">
      <c r="A510" s="6" t="s">
        <v>104</v>
      </c>
      <c r="B510" s="6" t="s">
        <v>105</v>
      </c>
      <c r="C510" s="6"/>
      <c r="D510" s="6">
        <v>950</v>
      </c>
      <c r="E510" s="6" t="s">
        <v>23</v>
      </c>
      <c r="F510" s="2" t="s">
        <v>24</v>
      </c>
      <c r="G510" s="2" t="s">
        <v>682</v>
      </c>
      <c r="H510" s="2" t="s">
        <v>26</v>
      </c>
      <c r="I510" s="2"/>
      <c r="J510" s="2">
        <v>1321948</v>
      </c>
      <c r="K510" s="2">
        <v>4395</v>
      </c>
      <c r="L510" s="2" t="s">
        <v>27</v>
      </c>
      <c r="M510" s="2" t="s">
        <v>28</v>
      </c>
      <c r="N510" s="2">
        <v>10491</v>
      </c>
    </row>
    <row r="511" spans="1:14">
      <c r="A511" s="7" t="s">
        <v>98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>
        <f>ROWS(A509:N510)</f>
        <v>2</v>
      </c>
    </row>
    <row r="512" spans="1:14">
      <c r="A512" s="7" t="s">
        <v>98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>
        <f>ROWS(A509:N510)</f>
        <v>2</v>
      </c>
    </row>
    <row r="513" spans="1:14" customHeight="1" ht="20">
      <c r="A513" s="4" t="s">
        <v>683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customHeight="1" ht="20">
      <c r="A514" s="4" t="s">
        <v>108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11</v>
      </c>
      <c r="F515" s="5" t="s">
        <v>12</v>
      </c>
      <c r="G515" s="5" t="s">
        <v>13</v>
      </c>
      <c r="H515" s="5" t="s">
        <v>14</v>
      </c>
      <c r="I515" s="5" t="s">
        <v>15</v>
      </c>
      <c r="J515" s="5" t="s">
        <v>16</v>
      </c>
      <c r="K515" s="5" t="s">
        <v>17</v>
      </c>
      <c r="L515" s="5" t="s">
        <v>18</v>
      </c>
      <c r="M515" s="5" t="s">
        <v>19</v>
      </c>
      <c r="N515" s="5" t="s">
        <v>20</v>
      </c>
    </row>
    <row r="516" spans="1:14">
      <c r="A516" s="6" t="s">
        <v>657</v>
      </c>
      <c r="B516" s="6" t="s">
        <v>658</v>
      </c>
      <c r="C516" s="6"/>
      <c r="D516" s="6">
        <v>3101</v>
      </c>
      <c r="E516" s="6" t="s">
        <v>23</v>
      </c>
      <c r="F516" s="2" t="s">
        <v>24</v>
      </c>
      <c r="G516" s="2" t="s">
        <v>684</v>
      </c>
      <c r="H516" s="2" t="s">
        <v>26</v>
      </c>
      <c r="I516" s="2"/>
      <c r="J516" s="2">
        <v>1319426</v>
      </c>
      <c r="K516" s="2">
        <v>4401</v>
      </c>
      <c r="L516" s="2" t="s">
        <v>27</v>
      </c>
      <c r="M516" s="2" t="s">
        <v>28</v>
      </c>
      <c r="N516" s="2">
        <v>10609</v>
      </c>
    </row>
    <row r="517" spans="1:14">
      <c r="A517" s="6" t="s">
        <v>109</v>
      </c>
      <c r="B517" s="6" t="s">
        <v>110</v>
      </c>
      <c r="C517" s="6"/>
      <c r="D517" s="6">
        <v>3101</v>
      </c>
      <c r="E517" s="6" t="s">
        <v>23</v>
      </c>
      <c r="F517" s="2" t="s">
        <v>24</v>
      </c>
      <c r="G517" s="2" t="s">
        <v>685</v>
      </c>
      <c r="H517" s="2" t="s">
        <v>26</v>
      </c>
      <c r="I517" s="2"/>
      <c r="J517" s="2">
        <v>1321040</v>
      </c>
      <c r="K517" s="2">
        <v>4401</v>
      </c>
      <c r="L517" s="2" t="s">
        <v>27</v>
      </c>
      <c r="M517" s="2" t="s">
        <v>28</v>
      </c>
      <c r="N517" s="2">
        <v>10620</v>
      </c>
    </row>
    <row r="518" spans="1:14">
      <c r="A518" s="6" t="s">
        <v>112</v>
      </c>
      <c r="B518" s="6" t="s">
        <v>113</v>
      </c>
      <c r="C518" s="6"/>
      <c r="D518" s="6">
        <v>3101</v>
      </c>
      <c r="E518" s="6" t="s">
        <v>23</v>
      </c>
      <c r="F518" s="2" t="s">
        <v>24</v>
      </c>
      <c r="G518" s="2" t="s">
        <v>686</v>
      </c>
      <c r="H518" s="2" t="s">
        <v>26</v>
      </c>
      <c r="I518" s="2"/>
      <c r="J518" s="2">
        <v>1318657</v>
      </c>
      <c r="K518" s="2">
        <v>4401</v>
      </c>
      <c r="L518" s="2" t="s">
        <v>27</v>
      </c>
      <c r="M518" s="2" t="s">
        <v>28</v>
      </c>
      <c r="N518" s="2">
        <v>12312</v>
      </c>
    </row>
    <row r="519" spans="1:14">
      <c r="A519" s="6" t="s">
        <v>115</v>
      </c>
      <c r="B519" s="6" t="s">
        <v>116</v>
      </c>
      <c r="C519" s="6"/>
      <c r="D519" s="6">
        <v>3101</v>
      </c>
      <c r="E519" s="6" t="s">
        <v>23</v>
      </c>
      <c r="F519" s="2" t="s">
        <v>24</v>
      </c>
      <c r="G519" s="2" t="s">
        <v>687</v>
      </c>
      <c r="H519" s="2" t="s">
        <v>26</v>
      </c>
      <c r="I519" s="2"/>
      <c r="J519" s="2">
        <v>1316797</v>
      </c>
      <c r="K519" s="2">
        <v>4401</v>
      </c>
      <c r="L519" s="2" t="s">
        <v>27</v>
      </c>
      <c r="M519" s="2" t="s">
        <v>28</v>
      </c>
      <c r="N519" s="2">
        <v>12313</v>
      </c>
    </row>
    <row r="520" spans="1:14">
      <c r="A520" s="6" t="s">
        <v>121</v>
      </c>
      <c r="B520" s="6" t="s">
        <v>122</v>
      </c>
      <c r="C520" s="6"/>
      <c r="D520" s="6">
        <v>3101</v>
      </c>
      <c r="E520" s="6" t="s">
        <v>23</v>
      </c>
      <c r="F520" s="2" t="s">
        <v>24</v>
      </c>
      <c r="G520" s="2" t="s">
        <v>688</v>
      </c>
      <c r="H520" s="2" t="s">
        <v>26</v>
      </c>
      <c r="I520" s="2"/>
      <c r="J520" s="2">
        <v>1316923</v>
      </c>
      <c r="K520" s="2">
        <v>4401</v>
      </c>
      <c r="L520" s="2" t="s">
        <v>27</v>
      </c>
      <c r="M520" s="2" t="s">
        <v>28</v>
      </c>
      <c r="N520" s="2">
        <v>12315</v>
      </c>
    </row>
    <row r="521" spans="1:14">
      <c r="A521" s="7" t="s">
        <v>98</v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>
        <f>ROWS(A516:N520)</f>
        <v>5</v>
      </c>
    </row>
    <row r="522" spans="1:14">
      <c r="A522" s="7" t="s">
        <v>98</v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>
        <f>ROWS(A516:N520)</f>
        <v>5</v>
      </c>
    </row>
    <row r="523" spans="1:14" customHeight="1" ht="20">
      <c r="A523" s="4" t="s">
        <v>689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customHeight="1" ht="20">
      <c r="A524" s="4" t="s">
        <v>471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11</v>
      </c>
      <c r="F525" s="5" t="s">
        <v>12</v>
      </c>
      <c r="G525" s="5" t="s">
        <v>13</v>
      </c>
      <c r="H525" s="5" t="s">
        <v>14</v>
      </c>
      <c r="I525" s="5" t="s">
        <v>15</v>
      </c>
      <c r="J525" s="5" t="s">
        <v>16</v>
      </c>
      <c r="K525" s="5" t="s">
        <v>17</v>
      </c>
      <c r="L525" s="5" t="s">
        <v>18</v>
      </c>
      <c r="M525" s="5" t="s">
        <v>19</v>
      </c>
      <c r="N525" s="5" t="s">
        <v>20</v>
      </c>
    </row>
    <row r="526" spans="1:14">
      <c r="A526" s="6" t="s">
        <v>476</v>
      </c>
      <c r="B526" s="6" t="s">
        <v>477</v>
      </c>
      <c r="C526" s="6"/>
      <c r="D526" s="6">
        <v>3708</v>
      </c>
      <c r="E526" s="6" t="s">
        <v>23</v>
      </c>
      <c r="F526" s="2" t="s">
        <v>24</v>
      </c>
      <c r="G526" s="2" t="s">
        <v>690</v>
      </c>
      <c r="H526" s="2" t="s">
        <v>26</v>
      </c>
      <c r="I526" s="2"/>
      <c r="J526" s="2">
        <v>1318999</v>
      </c>
      <c r="K526" s="2">
        <v>4414</v>
      </c>
      <c r="L526" s="2" t="s">
        <v>27</v>
      </c>
      <c r="M526" s="2" t="s">
        <v>28</v>
      </c>
      <c r="N526" s="2">
        <v>12370</v>
      </c>
    </row>
    <row r="527" spans="1:14">
      <c r="A527" s="6" t="s">
        <v>479</v>
      </c>
      <c r="B527" s="6" t="s">
        <v>480</v>
      </c>
      <c r="C527" s="6"/>
      <c r="D527" s="6">
        <v>3708</v>
      </c>
      <c r="E527" s="6" t="s">
        <v>23</v>
      </c>
      <c r="F527" s="2" t="s">
        <v>24</v>
      </c>
      <c r="G527" s="2" t="s">
        <v>691</v>
      </c>
      <c r="H527" s="2" t="s">
        <v>26</v>
      </c>
      <c r="I527" s="2"/>
      <c r="J527" s="2">
        <v>1317538</v>
      </c>
      <c r="K527" s="2">
        <v>4414</v>
      </c>
      <c r="L527" s="2" t="s">
        <v>27</v>
      </c>
      <c r="M527" s="2" t="s">
        <v>28</v>
      </c>
      <c r="N527" s="2">
        <v>12365</v>
      </c>
    </row>
    <row r="528" spans="1:14">
      <c r="A528" s="6" t="s">
        <v>482</v>
      </c>
      <c r="B528" s="6" t="s">
        <v>483</v>
      </c>
      <c r="C528" s="6"/>
      <c r="D528" s="6">
        <v>3708</v>
      </c>
      <c r="E528" s="6" t="s">
        <v>23</v>
      </c>
      <c r="F528" s="2" t="s">
        <v>24</v>
      </c>
      <c r="G528" s="2" t="s">
        <v>692</v>
      </c>
      <c r="H528" s="2" t="s">
        <v>26</v>
      </c>
      <c r="I528" s="2"/>
      <c r="J528" s="2">
        <v>1317361</v>
      </c>
      <c r="K528" s="2">
        <v>4414</v>
      </c>
      <c r="L528" s="2" t="s">
        <v>27</v>
      </c>
      <c r="M528" s="2" t="s">
        <v>28</v>
      </c>
      <c r="N528" s="2">
        <v>12366</v>
      </c>
    </row>
    <row r="529" spans="1:14">
      <c r="A529" s="6" t="s">
        <v>485</v>
      </c>
      <c r="B529" s="6" t="s">
        <v>486</v>
      </c>
      <c r="C529" s="6"/>
      <c r="D529" s="6">
        <v>3708</v>
      </c>
      <c r="E529" s="6" t="s">
        <v>23</v>
      </c>
      <c r="F529" s="2" t="s">
        <v>24</v>
      </c>
      <c r="G529" s="2" t="s">
        <v>693</v>
      </c>
      <c r="H529" s="2" t="s">
        <v>26</v>
      </c>
      <c r="I529" s="2"/>
      <c r="J529" s="2">
        <v>1316864</v>
      </c>
      <c r="K529" s="2">
        <v>4414</v>
      </c>
      <c r="L529" s="2" t="s">
        <v>27</v>
      </c>
      <c r="M529" s="2" t="s">
        <v>28</v>
      </c>
      <c r="N529" s="2">
        <v>12371</v>
      </c>
    </row>
    <row r="530" spans="1:14">
      <c r="A530" s="6" t="s">
        <v>694</v>
      </c>
      <c r="B530" s="6" t="s">
        <v>695</v>
      </c>
      <c r="C530" s="6"/>
      <c r="D530" s="6">
        <v>3708</v>
      </c>
      <c r="E530" s="6" t="s">
        <v>23</v>
      </c>
      <c r="F530" s="2" t="s">
        <v>24</v>
      </c>
      <c r="G530" s="2" t="s">
        <v>696</v>
      </c>
      <c r="H530" s="2" t="s">
        <v>26</v>
      </c>
      <c r="I530" s="2"/>
      <c r="J530" s="2">
        <v>1317596</v>
      </c>
      <c r="K530" s="2">
        <v>4414</v>
      </c>
      <c r="L530" s="2" t="s">
        <v>27</v>
      </c>
      <c r="M530" s="2" t="s">
        <v>28</v>
      </c>
      <c r="N530" s="2">
        <v>12368</v>
      </c>
    </row>
    <row r="531" spans="1:14">
      <c r="A531" s="6" t="s">
        <v>488</v>
      </c>
      <c r="B531" s="6" t="s">
        <v>489</v>
      </c>
      <c r="C531" s="6"/>
      <c r="D531" s="6">
        <v>3708</v>
      </c>
      <c r="E531" s="6" t="s">
        <v>23</v>
      </c>
      <c r="F531" s="2" t="s">
        <v>24</v>
      </c>
      <c r="G531" s="2" t="s">
        <v>697</v>
      </c>
      <c r="H531" s="2" t="s">
        <v>26</v>
      </c>
      <c r="I531" s="2"/>
      <c r="J531" s="2">
        <v>1317796</v>
      </c>
      <c r="K531" s="2">
        <v>4414</v>
      </c>
      <c r="L531" s="2" t="s">
        <v>27</v>
      </c>
      <c r="M531" s="2" t="s">
        <v>28</v>
      </c>
      <c r="N531" s="2">
        <v>12372</v>
      </c>
    </row>
    <row r="532" spans="1:14">
      <c r="A532" s="6" t="s">
        <v>491</v>
      </c>
      <c r="B532" s="6" t="s">
        <v>492</v>
      </c>
      <c r="C532" s="6"/>
      <c r="D532" s="6">
        <v>3708</v>
      </c>
      <c r="E532" s="6" t="s">
        <v>23</v>
      </c>
      <c r="F532" s="2" t="s">
        <v>24</v>
      </c>
      <c r="G532" s="2" t="s">
        <v>698</v>
      </c>
      <c r="H532" s="2" t="s">
        <v>26</v>
      </c>
      <c r="I532" s="2"/>
      <c r="J532" s="2">
        <v>1318086</v>
      </c>
      <c r="K532" s="2">
        <v>4414</v>
      </c>
      <c r="L532" s="2" t="s">
        <v>27</v>
      </c>
      <c r="M532" s="2" t="s">
        <v>28</v>
      </c>
      <c r="N532" s="2">
        <v>12373</v>
      </c>
    </row>
    <row r="533" spans="1:14">
      <c r="A533" s="6" t="s">
        <v>494</v>
      </c>
      <c r="B533" s="6" t="s">
        <v>495</v>
      </c>
      <c r="C533" s="6"/>
      <c r="D533" s="6">
        <v>3708</v>
      </c>
      <c r="E533" s="6" t="s">
        <v>23</v>
      </c>
      <c r="F533" s="2" t="s">
        <v>24</v>
      </c>
      <c r="G533" s="2" t="s">
        <v>699</v>
      </c>
      <c r="H533" s="2" t="s">
        <v>26</v>
      </c>
      <c r="I533" s="2"/>
      <c r="J533" s="2">
        <v>1319551</v>
      </c>
      <c r="K533" s="2">
        <v>4414</v>
      </c>
      <c r="L533" s="2" t="s">
        <v>27</v>
      </c>
      <c r="M533" s="2" t="s">
        <v>28</v>
      </c>
      <c r="N533" s="2">
        <v>12374</v>
      </c>
    </row>
    <row r="534" spans="1:14">
      <c r="A534" s="6" t="s">
        <v>497</v>
      </c>
      <c r="B534" s="6" t="s">
        <v>498</v>
      </c>
      <c r="C534" s="6"/>
      <c r="D534" s="6">
        <v>3708</v>
      </c>
      <c r="E534" s="6" t="s">
        <v>23</v>
      </c>
      <c r="F534" s="2" t="s">
        <v>24</v>
      </c>
      <c r="G534" s="2" t="s">
        <v>700</v>
      </c>
      <c r="H534" s="2" t="s">
        <v>26</v>
      </c>
      <c r="I534" s="2"/>
      <c r="J534" s="2">
        <v>1323808</v>
      </c>
      <c r="K534" s="2">
        <v>4414</v>
      </c>
      <c r="L534" s="2" t="s">
        <v>27</v>
      </c>
      <c r="M534" s="2" t="s">
        <v>28</v>
      </c>
      <c r="N534" s="2">
        <v>12354</v>
      </c>
    </row>
    <row r="535" spans="1:14">
      <c r="A535" s="6" t="s">
        <v>500</v>
      </c>
      <c r="B535" s="6" t="s">
        <v>501</v>
      </c>
      <c r="C535" s="6"/>
      <c r="D535" s="6">
        <v>3708</v>
      </c>
      <c r="E535" s="6" t="s">
        <v>23</v>
      </c>
      <c r="F535" s="2" t="s">
        <v>24</v>
      </c>
      <c r="G535" s="2" t="s">
        <v>701</v>
      </c>
      <c r="H535" s="2" t="s">
        <v>26</v>
      </c>
      <c r="I535" s="2"/>
      <c r="J535" s="2">
        <v>1323793</v>
      </c>
      <c r="K535" s="2">
        <v>4414</v>
      </c>
      <c r="L535" s="2" t="s">
        <v>27</v>
      </c>
      <c r="M535" s="2" t="s">
        <v>28</v>
      </c>
      <c r="N535" s="2">
        <v>12363</v>
      </c>
    </row>
    <row r="536" spans="1:14">
      <c r="A536" s="6" t="s">
        <v>702</v>
      </c>
      <c r="B536" s="6" t="s">
        <v>703</v>
      </c>
      <c r="C536" s="6"/>
      <c r="D536" s="6">
        <v>3708</v>
      </c>
      <c r="E536" s="6" t="s">
        <v>23</v>
      </c>
      <c r="F536" s="2" t="s">
        <v>24</v>
      </c>
      <c r="G536" s="2" t="s">
        <v>704</v>
      </c>
      <c r="H536" s="2" t="s">
        <v>26</v>
      </c>
      <c r="I536" s="2"/>
      <c r="J536" s="2">
        <v>1320371</v>
      </c>
      <c r="K536" s="2">
        <v>4414</v>
      </c>
      <c r="L536" s="2" t="s">
        <v>27</v>
      </c>
      <c r="M536" s="2" t="s">
        <v>28</v>
      </c>
      <c r="N536" s="2">
        <v>12369</v>
      </c>
    </row>
    <row r="537" spans="1:14">
      <c r="A537" s="7" t="s">
        <v>98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>
        <f>ROWS(A526:N536)</f>
        <v>11</v>
      </c>
    </row>
    <row r="538" spans="1:14">
      <c r="A538" s="7" t="s">
        <v>98</v>
      </c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>
        <f>ROWS(A526:N536)</f>
        <v>11</v>
      </c>
    </row>
    <row r="539" spans="1:14" customHeight="1" ht="20">
      <c r="A539" s="4" t="s">
        <v>705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customHeight="1" ht="20">
      <c r="A540" s="4" t="s">
        <v>519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11</v>
      </c>
      <c r="F541" s="5" t="s">
        <v>12</v>
      </c>
      <c r="G541" s="5" t="s">
        <v>13</v>
      </c>
      <c r="H541" s="5" t="s">
        <v>14</v>
      </c>
      <c r="I541" s="5" t="s">
        <v>15</v>
      </c>
      <c r="J541" s="5" t="s">
        <v>16</v>
      </c>
      <c r="K541" s="5" t="s">
        <v>17</v>
      </c>
      <c r="L541" s="5" t="s">
        <v>18</v>
      </c>
      <c r="M541" s="5" t="s">
        <v>19</v>
      </c>
      <c r="N541" s="5" t="s">
        <v>20</v>
      </c>
    </row>
    <row r="542" spans="1:14">
      <c r="A542" s="6" t="s">
        <v>520</v>
      </c>
      <c r="B542" s="6" t="s">
        <v>521</v>
      </c>
      <c r="C542" s="6"/>
      <c r="D542" s="6">
        <v>517</v>
      </c>
      <c r="E542" s="6" t="s">
        <v>23</v>
      </c>
      <c r="F542" s="2" t="s">
        <v>24</v>
      </c>
      <c r="G542" s="2" t="s">
        <v>706</v>
      </c>
      <c r="H542" s="2" t="s">
        <v>26</v>
      </c>
      <c r="I542" s="2"/>
      <c r="J542" s="2">
        <v>1317412</v>
      </c>
      <c r="K542" s="2">
        <v>4421</v>
      </c>
      <c r="L542" s="2" t="s">
        <v>27</v>
      </c>
      <c r="M542" s="2" t="s">
        <v>28</v>
      </c>
      <c r="N542" s="2">
        <v>12355</v>
      </c>
    </row>
    <row r="543" spans="1:14">
      <c r="A543" s="6" t="s">
        <v>523</v>
      </c>
      <c r="B543" s="6" t="s">
        <v>524</v>
      </c>
      <c r="C543" s="6"/>
      <c r="D543" s="6">
        <v>517</v>
      </c>
      <c r="E543" s="6" t="s">
        <v>23</v>
      </c>
      <c r="F543" s="2" t="s">
        <v>24</v>
      </c>
      <c r="G543" s="2" t="s">
        <v>707</v>
      </c>
      <c r="H543" s="2" t="s">
        <v>26</v>
      </c>
      <c r="I543" s="2"/>
      <c r="J543" s="2">
        <v>1319073</v>
      </c>
      <c r="K543" s="2">
        <v>4421</v>
      </c>
      <c r="L543" s="2" t="s">
        <v>27</v>
      </c>
      <c r="M543" s="2" t="s">
        <v>28</v>
      </c>
      <c r="N543" s="2">
        <v>12356</v>
      </c>
    </row>
    <row r="544" spans="1:14">
      <c r="A544" s="6" t="s">
        <v>526</v>
      </c>
      <c r="B544" s="6" t="s">
        <v>527</v>
      </c>
      <c r="C544" s="6"/>
      <c r="D544" s="6">
        <v>517</v>
      </c>
      <c r="E544" s="6" t="s">
        <v>23</v>
      </c>
      <c r="F544" s="2" t="s">
        <v>24</v>
      </c>
      <c r="G544" s="2" t="s">
        <v>708</v>
      </c>
      <c r="H544" s="2" t="s">
        <v>26</v>
      </c>
      <c r="I544" s="2"/>
      <c r="J544" s="2">
        <v>1317681</v>
      </c>
      <c r="K544" s="2">
        <v>4421</v>
      </c>
      <c r="L544" s="2" t="s">
        <v>27</v>
      </c>
      <c r="M544" s="2" t="s">
        <v>28</v>
      </c>
      <c r="N544" s="2">
        <v>12357</v>
      </c>
    </row>
    <row r="545" spans="1:14">
      <c r="A545" s="6" t="s">
        <v>529</v>
      </c>
      <c r="B545" s="6" t="s">
        <v>530</v>
      </c>
      <c r="C545" s="6"/>
      <c r="D545" s="6">
        <v>517</v>
      </c>
      <c r="E545" s="6" t="s">
        <v>23</v>
      </c>
      <c r="F545" s="2" t="s">
        <v>24</v>
      </c>
      <c r="G545" s="2" t="s">
        <v>709</v>
      </c>
      <c r="H545" s="2" t="s">
        <v>26</v>
      </c>
      <c r="I545" s="2"/>
      <c r="J545" s="2">
        <v>1317831</v>
      </c>
      <c r="K545" s="2">
        <v>4421</v>
      </c>
      <c r="L545" s="2" t="s">
        <v>27</v>
      </c>
      <c r="M545" s="2" t="s">
        <v>28</v>
      </c>
      <c r="N545" s="2">
        <v>12358</v>
      </c>
    </row>
    <row r="546" spans="1:14">
      <c r="A546" s="6" t="s">
        <v>532</v>
      </c>
      <c r="B546" s="6" t="s">
        <v>533</v>
      </c>
      <c r="C546" s="6"/>
      <c r="D546" s="6">
        <v>517</v>
      </c>
      <c r="E546" s="6" t="s">
        <v>23</v>
      </c>
      <c r="F546" s="2" t="s">
        <v>24</v>
      </c>
      <c r="G546" s="2" t="s">
        <v>710</v>
      </c>
      <c r="H546" s="2" t="s">
        <v>26</v>
      </c>
      <c r="I546" s="2"/>
      <c r="J546" s="2">
        <v>1318100</v>
      </c>
      <c r="K546" s="2">
        <v>4421</v>
      </c>
      <c r="L546" s="2" t="s">
        <v>27</v>
      </c>
      <c r="M546" s="2" t="s">
        <v>28</v>
      </c>
      <c r="N546" s="2">
        <v>12359</v>
      </c>
    </row>
    <row r="547" spans="1:14">
      <c r="A547" s="6" t="s">
        <v>535</v>
      </c>
      <c r="B547" s="6" t="s">
        <v>536</v>
      </c>
      <c r="C547" s="6"/>
      <c r="D547" s="6">
        <v>517</v>
      </c>
      <c r="E547" s="6" t="s">
        <v>23</v>
      </c>
      <c r="F547" s="2" t="s">
        <v>24</v>
      </c>
      <c r="G547" s="2" t="s">
        <v>711</v>
      </c>
      <c r="H547" s="2" t="s">
        <v>26</v>
      </c>
      <c r="I547" s="2"/>
      <c r="J547" s="2">
        <v>1319534</v>
      </c>
      <c r="K547" s="2">
        <v>4421</v>
      </c>
      <c r="L547" s="2" t="s">
        <v>27</v>
      </c>
      <c r="M547" s="2" t="s">
        <v>28</v>
      </c>
      <c r="N547" s="2">
        <v>12361</v>
      </c>
    </row>
    <row r="548" spans="1:14">
      <c r="A548" s="6" t="s">
        <v>538</v>
      </c>
      <c r="B548" s="6" t="s">
        <v>539</v>
      </c>
      <c r="C548" s="6"/>
      <c r="D548" s="6">
        <v>517</v>
      </c>
      <c r="E548" s="6" t="s">
        <v>23</v>
      </c>
      <c r="F548" s="2" t="s">
        <v>24</v>
      </c>
      <c r="G548" s="2" t="s">
        <v>712</v>
      </c>
      <c r="H548" s="2" t="s">
        <v>26</v>
      </c>
      <c r="I548" s="2"/>
      <c r="J548" s="2">
        <v>1318198</v>
      </c>
      <c r="K548" s="2">
        <v>4421</v>
      </c>
      <c r="L548" s="2" t="s">
        <v>27</v>
      </c>
      <c r="M548" s="2" t="s">
        <v>28</v>
      </c>
      <c r="N548" s="2">
        <v>12362</v>
      </c>
    </row>
    <row r="549" spans="1:14">
      <c r="A549" s="6" t="s">
        <v>541</v>
      </c>
      <c r="B549" s="6" t="s">
        <v>542</v>
      </c>
      <c r="C549" s="6"/>
      <c r="D549" s="6">
        <v>517</v>
      </c>
      <c r="E549" s="6" t="s">
        <v>23</v>
      </c>
      <c r="F549" s="2" t="s">
        <v>24</v>
      </c>
      <c r="G549" s="2" t="s">
        <v>713</v>
      </c>
      <c r="H549" s="2" t="s">
        <v>26</v>
      </c>
      <c r="I549" s="2"/>
      <c r="J549" s="2">
        <v>1319396</v>
      </c>
      <c r="K549" s="2">
        <v>4421</v>
      </c>
      <c r="L549" s="2" t="s">
        <v>27</v>
      </c>
      <c r="M549" s="2" t="s">
        <v>28</v>
      </c>
      <c r="N549" s="2">
        <v>12364</v>
      </c>
    </row>
    <row r="550" spans="1:14">
      <c r="A550" s="6" t="s">
        <v>544</v>
      </c>
      <c r="B550" s="6" t="s">
        <v>545</v>
      </c>
      <c r="C550" s="6"/>
      <c r="D550" s="6">
        <v>517</v>
      </c>
      <c r="E550" s="6" t="s">
        <v>23</v>
      </c>
      <c r="F550" s="2" t="s">
        <v>24</v>
      </c>
      <c r="G550" s="2" t="s">
        <v>714</v>
      </c>
      <c r="H550" s="2" t="s">
        <v>26</v>
      </c>
      <c r="I550" s="2"/>
      <c r="J550" s="2">
        <v>1320268</v>
      </c>
      <c r="K550" s="2">
        <v>4421</v>
      </c>
      <c r="L550" s="2" t="s">
        <v>27</v>
      </c>
      <c r="M550" s="2" t="s">
        <v>28</v>
      </c>
      <c r="N550" s="2">
        <v>1274</v>
      </c>
    </row>
    <row r="551" spans="1:14">
      <c r="A551" s="7" t="s">
        <v>98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>
        <f>ROWS(A542:N550)</f>
        <v>9</v>
      </c>
    </row>
    <row r="552" spans="1:14">
      <c r="A552" s="7" t="s">
        <v>98</v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>
        <f>ROWS(A542:N550)</f>
        <v>9</v>
      </c>
    </row>
    <row r="553" spans="1:14" customHeight="1" ht="20">
      <c r="A553" s="4" t="s">
        <v>715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customHeight="1" ht="20">
      <c r="A554" s="4" t="s">
        <v>100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11</v>
      </c>
      <c r="F555" s="5" t="s">
        <v>12</v>
      </c>
      <c r="G555" s="5" t="s">
        <v>13</v>
      </c>
      <c r="H555" s="5" t="s">
        <v>14</v>
      </c>
      <c r="I555" s="5" t="s">
        <v>15</v>
      </c>
      <c r="J555" s="5" t="s">
        <v>16</v>
      </c>
      <c r="K555" s="5" t="s">
        <v>17</v>
      </c>
      <c r="L555" s="5" t="s">
        <v>18</v>
      </c>
      <c r="M555" s="5" t="s">
        <v>19</v>
      </c>
      <c r="N555" s="5" t="s">
        <v>20</v>
      </c>
    </row>
    <row r="556" spans="1:14">
      <c r="A556" s="6" t="s">
        <v>101</v>
      </c>
      <c r="B556" s="6" t="s">
        <v>102</v>
      </c>
      <c r="C556" s="6"/>
      <c r="D556" s="6">
        <v>951</v>
      </c>
      <c r="E556" s="6" t="s">
        <v>23</v>
      </c>
      <c r="F556" s="2" t="s">
        <v>24</v>
      </c>
      <c r="G556" s="2" t="s">
        <v>716</v>
      </c>
      <c r="H556" s="2" t="s">
        <v>26</v>
      </c>
      <c r="I556" s="2"/>
      <c r="J556" s="2">
        <v>1318528</v>
      </c>
      <c r="K556" s="2">
        <v>4396</v>
      </c>
      <c r="L556" s="2" t="s">
        <v>27</v>
      </c>
      <c r="M556" s="2" t="s">
        <v>28</v>
      </c>
      <c r="N556" s="2">
        <v>6618</v>
      </c>
    </row>
    <row r="557" spans="1:14">
      <c r="A557" s="6" t="s">
        <v>104</v>
      </c>
      <c r="B557" s="6" t="s">
        <v>105</v>
      </c>
      <c r="C557" s="6"/>
      <c r="D557" s="6">
        <v>951</v>
      </c>
      <c r="E557" s="6" t="s">
        <v>23</v>
      </c>
      <c r="F557" s="2" t="s">
        <v>24</v>
      </c>
      <c r="G557" s="2" t="s">
        <v>717</v>
      </c>
      <c r="H557" s="2" t="s">
        <v>26</v>
      </c>
      <c r="I557" s="2"/>
      <c r="J557" s="2">
        <v>1321951</v>
      </c>
      <c r="K557" s="2">
        <v>4396</v>
      </c>
      <c r="L557" s="2" t="s">
        <v>27</v>
      </c>
      <c r="M557" s="2" t="s">
        <v>28</v>
      </c>
      <c r="N557" s="2">
        <v>10491</v>
      </c>
    </row>
    <row r="558" spans="1:14">
      <c r="A558" s="7" t="s">
        <v>98</v>
      </c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>
        <f>ROWS(A556:N557)</f>
        <v>2</v>
      </c>
    </row>
    <row r="559" spans="1:14">
      <c r="A559" s="7" t="s">
        <v>98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>
        <f>ROWS(A556:N557)</f>
        <v>2</v>
      </c>
    </row>
    <row r="560" spans="1:14" customHeight="1" ht="20">
      <c r="A560" s="4" t="s">
        <v>718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customHeight="1" ht="20">
      <c r="A561" s="4" t="s">
        <v>100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>
      <c r="A562" s="5" t="s">
        <v>7</v>
      </c>
      <c r="B562" s="5" t="s">
        <v>8</v>
      </c>
      <c r="C562" s="5" t="s">
        <v>9</v>
      </c>
      <c r="D562" s="5" t="s">
        <v>10</v>
      </c>
      <c r="E562" s="5" t="s">
        <v>11</v>
      </c>
      <c r="F562" s="5" t="s">
        <v>12</v>
      </c>
      <c r="G562" s="5" t="s">
        <v>13</v>
      </c>
      <c r="H562" s="5" t="s">
        <v>14</v>
      </c>
      <c r="I562" s="5" t="s">
        <v>15</v>
      </c>
      <c r="J562" s="5" t="s">
        <v>16</v>
      </c>
      <c r="K562" s="5" t="s">
        <v>17</v>
      </c>
      <c r="L562" s="5" t="s">
        <v>18</v>
      </c>
      <c r="M562" s="5" t="s">
        <v>19</v>
      </c>
      <c r="N562" s="5" t="s">
        <v>20</v>
      </c>
    </row>
    <row r="563" spans="1:14">
      <c r="A563" s="6" t="s">
        <v>101</v>
      </c>
      <c r="B563" s="6" t="s">
        <v>102</v>
      </c>
      <c r="C563" s="6"/>
      <c r="D563" s="6">
        <v>916</v>
      </c>
      <c r="E563" s="6" t="s">
        <v>23</v>
      </c>
      <c r="F563" s="2" t="s">
        <v>24</v>
      </c>
      <c r="G563" s="2" t="s">
        <v>719</v>
      </c>
      <c r="H563" s="2" t="s">
        <v>26</v>
      </c>
      <c r="I563" s="2"/>
      <c r="J563" s="2">
        <v>1393351</v>
      </c>
      <c r="K563" s="2">
        <v>4499</v>
      </c>
      <c r="L563" s="2" t="s">
        <v>27</v>
      </c>
      <c r="M563" s="2" t="s">
        <v>28</v>
      </c>
      <c r="N563" s="2">
        <v>6618</v>
      </c>
    </row>
    <row r="564" spans="1:14">
      <c r="A564" s="6" t="s">
        <v>104</v>
      </c>
      <c r="B564" s="6" t="s">
        <v>105</v>
      </c>
      <c r="C564" s="6"/>
      <c r="D564" s="6">
        <v>916</v>
      </c>
      <c r="E564" s="6" t="s">
        <v>23</v>
      </c>
      <c r="F564" s="2" t="s">
        <v>720</v>
      </c>
      <c r="G564" s="2" t="s">
        <v>721</v>
      </c>
      <c r="H564" s="2" t="s">
        <v>26</v>
      </c>
      <c r="I564" s="2"/>
      <c r="J564" s="2">
        <v>1393386</v>
      </c>
      <c r="K564" s="2">
        <v>4499</v>
      </c>
      <c r="L564" s="2" t="s">
        <v>27</v>
      </c>
      <c r="M564" s="2" t="s">
        <v>28</v>
      </c>
      <c r="N564" s="2">
        <v>10491</v>
      </c>
    </row>
    <row r="565" spans="1:14">
      <c r="A565" s="7" t="s">
        <v>98</v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>
        <f>ROWS(A563:N564)</f>
        <v>2</v>
      </c>
    </row>
    <row r="566" spans="1:14">
      <c r="A566" s="7" t="s">
        <v>98</v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>
        <f>ROWS(A563:N564)</f>
        <v>2</v>
      </c>
    </row>
    <row r="567" spans="1:14" customHeight="1" ht="20">
      <c r="A567" s="4" t="s">
        <v>722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customHeight="1" ht="20">
      <c r="A568" s="4" t="s">
        <v>6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11</v>
      </c>
      <c r="F569" s="5" t="s">
        <v>12</v>
      </c>
      <c r="G569" s="5" t="s">
        <v>13</v>
      </c>
      <c r="H569" s="5" t="s">
        <v>14</v>
      </c>
      <c r="I569" s="5" t="s">
        <v>15</v>
      </c>
      <c r="J569" s="5" t="s">
        <v>16</v>
      </c>
      <c r="K569" s="5" t="s">
        <v>17</v>
      </c>
      <c r="L569" s="5" t="s">
        <v>18</v>
      </c>
      <c r="M569" s="5" t="s">
        <v>19</v>
      </c>
      <c r="N569" s="5" t="s">
        <v>20</v>
      </c>
    </row>
    <row r="570" spans="1:14">
      <c r="A570" s="6" t="s">
        <v>21</v>
      </c>
      <c r="B570" s="6" t="s">
        <v>22</v>
      </c>
      <c r="C570" s="6"/>
      <c r="D570" s="6">
        <v>3624</v>
      </c>
      <c r="E570" s="6" t="s">
        <v>23</v>
      </c>
      <c r="F570" s="2" t="s">
        <v>24</v>
      </c>
      <c r="G570" s="2" t="s">
        <v>723</v>
      </c>
      <c r="H570" s="2" t="s">
        <v>26</v>
      </c>
      <c r="I570" s="2"/>
      <c r="J570" s="2">
        <v>1319604</v>
      </c>
      <c r="K570" s="2">
        <v>4412</v>
      </c>
      <c r="L570" s="2" t="s">
        <v>27</v>
      </c>
      <c r="M570" s="2" t="s">
        <v>28</v>
      </c>
      <c r="N570" s="2">
        <v>10401</v>
      </c>
    </row>
    <row r="571" spans="1:14">
      <c r="A571" s="6" t="s">
        <v>29</v>
      </c>
      <c r="B571" s="6" t="s">
        <v>30</v>
      </c>
      <c r="C571" s="6"/>
      <c r="D571" s="6">
        <v>3624</v>
      </c>
      <c r="E571" s="6" t="s">
        <v>23</v>
      </c>
      <c r="F571" s="2" t="s">
        <v>24</v>
      </c>
      <c r="G571" s="2" t="s">
        <v>724</v>
      </c>
      <c r="H571" s="2" t="s">
        <v>26</v>
      </c>
      <c r="I571" s="2"/>
      <c r="J571" s="2">
        <v>1317597</v>
      </c>
      <c r="K571" s="2">
        <v>4412</v>
      </c>
      <c r="L571" s="2" t="s">
        <v>27</v>
      </c>
      <c r="M571" s="2" t="s">
        <v>28</v>
      </c>
      <c r="N571" s="2">
        <v>10402</v>
      </c>
    </row>
    <row r="572" spans="1:14">
      <c r="A572" s="6" t="s">
        <v>32</v>
      </c>
      <c r="B572" s="6" t="s">
        <v>33</v>
      </c>
      <c r="C572" s="6"/>
      <c r="D572" s="6">
        <v>3624</v>
      </c>
      <c r="E572" s="6" t="s">
        <v>23</v>
      </c>
      <c r="F572" s="2" t="s">
        <v>24</v>
      </c>
      <c r="G572" s="2" t="s">
        <v>725</v>
      </c>
      <c r="H572" s="2" t="s">
        <v>26</v>
      </c>
      <c r="I572" s="2"/>
      <c r="J572" s="2">
        <v>1318933</v>
      </c>
      <c r="K572" s="2">
        <v>4412</v>
      </c>
      <c r="L572" s="2" t="s">
        <v>27</v>
      </c>
      <c r="M572" s="2" t="s">
        <v>28</v>
      </c>
      <c r="N572" s="2">
        <v>10403</v>
      </c>
    </row>
    <row r="573" spans="1:14">
      <c r="A573" s="6" t="s">
        <v>35</v>
      </c>
      <c r="B573" s="6" t="s">
        <v>36</v>
      </c>
      <c r="C573" s="6"/>
      <c r="D573" s="6">
        <v>3624</v>
      </c>
      <c r="E573" s="6" t="s">
        <v>23</v>
      </c>
      <c r="F573" s="2" t="s">
        <v>24</v>
      </c>
      <c r="G573" s="2" t="s">
        <v>726</v>
      </c>
      <c r="H573" s="2" t="s">
        <v>26</v>
      </c>
      <c r="I573" s="2"/>
      <c r="J573" s="2">
        <v>1317652</v>
      </c>
      <c r="K573" s="2">
        <v>4412</v>
      </c>
      <c r="L573" s="2" t="s">
        <v>27</v>
      </c>
      <c r="M573" s="2" t="s">
        <v>28</v>
      </c>
      <c r="N573" s="2">
        <v>3125</v>
      </c>
    </row>
    <row r="574" spans="1:14">
      <c r="A574" s="6" t="s">
        <v>38</v>
      </c>
      <c r="B574" s="6" t="s">
        <v>39</v>
      </c>
      <c r="C574" s="6"/>
      <c r="D574" s="6">
        <v>3624</v>
      </c>
      <c r="E574" s="6" t="s">
        <v>23</v>
      </c>
      <c r="F574" s="2" t="s">
        <v>24</v>
      </c>
      <c r="G574" s="2" t="s">
        <v>727</v>
      </c>
      <c r="H574" s="2" t="s">
        <v>26</v>
      </c>
      <c r="I574" s="2"/>
      <c r="J574" s="2">
        <v>1317930</v>
      </c>
      <c r="K574" s="2">
        <v>4412</v>
      </c>
      <c r="L574" s="2" t="s">
        <v>27</v>
      </c>
      <c r="M574" s="2" t="s">
        <v>28</v>
      </c>
      <c r="N574" s="2">
        <v>10404</v>
      </c>
    </row>
    <row r="575" spans="1:14">
      <c r="A575" s="6" t="s">
        <v>41</v>
      </c>
      <c r="B575" s="6" t="s">
        <v>42</v>
      </c>
      <c r="C575" s="6"/>
      <c r="D575" s="6">
        <v>3624</v>
      </c>
      <c r="E575" s="6" t="s">
        <v>23</v>
      </c>
      <c r="F575" s="2" t="s">
        <v>24</v>
      </c>
      <c r="G575" s="2" t="s">
        <v>728</v>
      </c>
      <c r="H575" s="2" t="s">
        <v>26</v>
      </c>
      <c r="I575" s="2"/>
      <c r="J575" s="2">
        <v>1317912</v>
      </c>
      <c r="K575" s="2">
        <v>4412</v>
      </c>
      <c r="L575" s="2" t="s">
        <v>27</v>
      </c>
      <c r="M575" s="2" t="s">
        <v>28</v>
      </c>
      <c r="N575" s="2">
        <v>10405</v>
      </c>
    </row>
    <row r="576" spans="1:14">
      <c r="A576" s="6" t="s">
        <v>44</v>
      </c>
      <c r="B576" s="6" t="s">
        <v>45</v>
      </c>
      <c r="C576" s="6"/>
      <c r="D576" s="6">
        <v>3624</v>
      </c>
      <c r="E576" s="6" t="s">
        <v>23</v>
      </c>
      <c r="F576" s="2" t="s">
        <v>24</v>
      </c>
      <c r="G576" s="2" t="s">
        <v>729</v>
      </c>
      <c r="H576" s="2" t="s">
        <v>26</v>
      </c>
      <c r="I576" s="2"/>
      <c r="J576" s="2">
        <v>1318925</v>
      </c>
      <c r="K576" s="2">
        <v>4412</v>
      </c>
      <c r="L576" s="2" t="s">
        <v>27</v>
      </c>
      <c r="M576" s="2" t="s">
        <v>28</v>
      </c>
      <c r="N576" s="2">
        <v>10407</v>
      </c>
    </row>
    <row r="577" spans="1:14">
      <c r="A577" s="6" t="s">
        <v>50</v>
      </c>
      <c r="B577" s="6" t="s">
        <v>51</v>
      </c>
      <c r="C577" s="6"/>
      <c r="D577" s="6">
        <v>3624</v>
      </c>
      <c r="E577" s="6" t="s">
        <v>23</v>
      </c>
      <c r="F577" s="2" t="s">
        <v>24</v>
      </c>
      <c r="G577" s="2" t="s">
        <v>730</v>
      </c>
      <c r="H577" s="2" t="s">
        <v>26</v>
      </c>
      <c r="I577" s="2"/>
      <c r="J577" s="2">
        <v>1318817</v>
      </c>
      <c r="K577" s="2">
        <v>4412</v>
      </c>
      <c r="L577" s="2" t="s">
        <v>27</v>
      </c>
      <c r="M577" s="2" t="s">
        <v>28</v>
      </c>
      <c r="N577" s="2">
        <v>10411</v>
      </c>
    </row>
    <row r="578" spans="1:14">
      <c r="A578" s="6" t="s">
        <v>53</v>
      </c>
      <c r="B578" s="6" t="s">
        <v>54</v>
      </c>
      <c r="C578" s="6"/>
      <c r="D578" s="6">
        <v>3624</v>
      </c>
      <c r="E578" s="6" t="s">
        <v>23</v>
      </c>
      <c r="F578" s="2" t="s">
        <v>24</v>
      </c>
      <c r="G578" s="2" t="s">
        <v>731</v>
      </c>
      <c r="H578" s="2" t="s">
        <v>26</v>
      </c>
      <c r="I578" s="2"/>
      <c r="J578" s="2">
        <v>1323108</v>
      </c>
      <c r="K578" s="2">
        <v>4412</v>
      </c>
      <c r="L578" s="2" t="s">
        <v>27</v>
      </c>
      <c r="M578" s="2" t="s">
        <v>28</v>
      </c>
      <c r="N578" s="2">
        <v>10412</v>
      </c>
    </row>
    <row r="579" spans="1:14">
      <c r="A579" s="6" t="s">
        <v>56</v>
      </c>
      <c r="B579" s="6" t="s">
        <v>57</v>
      </c>
      <c r="C579" s="6"/>
      <c r="D579" s="6">
        <v>3624</v>
      </c>
      <c r="E579" s="6" t="s">
        <v>23</v>
      </c>
      <c r="F579" s="2" t="s">
        <v>24</v>
      </c>
      <c r="G579" s="2" t="s">
        <v>732</v>
      </c>
      <c r="H579" s="2" t="s">
        <v>26</v>
      </c>
      <c r="I579" s="2"/>
      <c r="J579" s="2">
        <v>1319603</v>
      </c>
      <c r="K579" s="2">
        <v>4412</v>
      </c>
      <c r="L579" s="2" t="s">
        <v>27</v>
      </c>
      <c r="M579" s="2" t="s">
        <v>28</v>
      </c>
      <c r="N579" s="2">
        <v>10414</v>
      </c>
    </row>
    <row r="580" spans="1:14">
      <c r="A580" s="6" t="s">
        <v>59</v>
      </c>
      <c r="B580" s="6" t="s">
        <v>60</v>
      </c>
      <c r="C580" s="6"/>
      <c r="D580" s="6">
        <v>3624</v>
      </c>
      <c r="E580" s="6" t="s">
        <v>23</v>
      </c>
      <c r="F580" s="2" t="s">
        <v>24</v>
      </c>
      <c r="G580" s="2" t="s">
        <v>733</v>
      </c>
      <c r="H580" s="2" t="s">
        <v>26</v>
      </c>
      <c r="I580" s="2"/>
      <c r="J580" s="2">
        <v>1320377</v>
      </c>
      <c r="K580" s="2">
        <v>4412</v>
      </c>
      <c r="L580" s="2" t="s">
        <v>27</v>
      </c>
      <c r="M580" s="2" t="s">
        <v>28</v>
      </c>
      <c r="N580" s="2">
        <v>10487</v>
      </c>
    </row>
    <row r="581" spans="1:14">
      <c r="A581" s="6" t="s">
        <v>62</v>
      </c>
      <c r="B581" s="6" t="s">
        <v>63</v>
      </c>
      <c r="C581" s="6"/>
      <c r="D581" s="6">
        <v>3624</v>
      </c>
      <c r="E581" s="6" t="s">
        <v>23</v>
      </c>
      <c r="F581" s="2" t="s">
        <v>24</v>
      </c>
      <c r="G581" s="2" t="s">
        <v>734</v>
      </c>
      <c r="H581" s="2" t="s">
        <v>26</v>
      </c>
      <c r="I581" s="2"/>
      <c r="J581" s="2">
        <v>1320481</v>
      </c>
      <c r="K581" s="2">
        <v>4412</v>
      </c>
      <c r="L581" s="2" t="s">
        <v>27</v>
      </c>
      <c r="M581" s="2" t="s">
        <v>28</v>
      </c>
      <c r="N581" s="2">
        <v>10416</v>
      </c>
    </row>
    <row r="582" spans="1:14">
      <c r="A582" s="6" t="s">
        <v>65</v>
      </c>
      <c r="B582" s="6" t="s">
        <v>66</v>
      </c>
      <c r="C582" s="6"/>
      <c r="D582" s="6">
        <v>3624</v>
      </c>
      <c r="E582" s="6" t="s">
        <v>23</v>
      </c>
      <c r="F582" s="2" t="s">
        <v>24</v>
      </c>
      <c r="G582" s="2" t="s">
        <v>735</v>
      </c>
      <c r="H582" s="2" t="s">
        <v>26</v>
      </c>
      <c r="I582" s="2"/>
      <c r="J582" s="2">
        <v>1319314</v>
      </c>
      <c r="K582" s="2">
        <v>4412</v>
      </c>
      <c r="L582" s="2" t="s">
        <v>27</v>
      </c>
      <c r="M582" s="2" t="s">
        <v>28</v>
      </c>
      <c r="N582" s="2">
        <v>1253</v>
      </c>
    </row>
    <row r="583" spans="1:14">
      <c r="A583" s="6" t="s">
        <v>68</v>
      </c>
      <c r="B583" s="6" t="s">
        <v>69</v>
      </c>
      <c r="C583" s="6"/>
      <c r="D583" s="6">
        <v>3624</v>
      </c>
      <c r="E583" s="6" t="s">
        <v>23</v>
      </c>
      <c r="F583" s="2" t="s">
        <v>24</v>
      </c>
      <c r="G583" s="2" t="s">
        <v>736</v>
      </c>
      <c r="H583" s="2" t="s">
        <v>26</v>
      </c>
      <c r="I583" s="2"/>
      <c r="J583" s="2">
        <v>1317289</v>
      </c>
      <c r="K583" s="2">
        <v>4412</v>
      </c>
      <c r="L583" s="2" t="s">
        <v>27</v>
      </c>
      <c r="M583" s="2" t="s">
        <v>28</v>
      </c>
      <c r="N583" s="2">
        <v>8468</v>
      </c>
    </row>
    <row r="584" spans="1:14">
      <c r="A584" s="6" t="s">
        <v>71</v>
      </c>
      <c r="B584" s="6" t="s">
        <v>72</v>
      </c>
      <c r="C584" s="6"/>
      <c r="D584" s="6">
        <v>3624</v>
      </c>
      <c r="E584" s="6" t="s">
        <v>23</v>
      </c>
      <c r="F584" s="2" t="s">
        <v>24</v>
      </c>
      <c r="G584" s="2" t="s">
        <v>737</v>
      </c>
      <c r="H584" s="2" t="s">
        <v>26</v>
      </c>
      <c r="I584" s="2"/>
      <c r="J584" s="2">
        <v>1317209</v>
      </c>
      <c r="K584" s="2">
        <v>4412</v>
      </c>
      <c r="L584" s="2" t="s">
        <v>27</v>
      </c>
      <c r="M584" s="2" t="s">
        <v>28</v>
      </c>
      <c r="N584" s="2">
        <v>4578</v>
      </c>
    </row>
    <row r="585" spans="1:14">
      <c r="A585" s="6" t="s">
        <v>74</v>
      </c>
      <c r="B585" s="6" t="s">
        <v>75</v>
      </c>
      <c r="C585" s="6"/>
      <c r="D585" s="6">
        <v>3624</v>
      </c>
      <c r="E585" s="6" t="s">
        <v>23</v>
      </c>
      <c r="F585" s="2" t="s">
        <v>24</v>
      </c>
      <c r="G585" s="2" t="s">
        <v>738</v>
      </c>
      <c r="H585" s="2" t="s">
        <v>26</v>
      </c>
      <c r="I585" s="2"/>
      <c r="J585" s="2">
        <v>1317385</v>
      </c>
      <c r="K585" s="2">
        <v>4412</v>
      </c>
      <c r="L585" s="2" t="s">
        <v>27</v>
      </c>
      <c r="M585" s="2" t="s">
        <v>28</v>
      </c>
      <c r="N585" s="2">
        <v>10419</v>
      </c>
    </row>
    <row r="586" spans="1:14">
      <c r="A586" s="6" t="s">
        <v>77</v>
      </c>
      <c r="B586" s="6" t="s">
        <v>78</v>
      </c>
      <c r="C586" s="6"/>
      <c r="D586" s="6">
        <v>3624</v>
      </c>
      <c r="E586" s="6" t="s">
        <v>23</v>
      </c>
      <c r="F586" s="2" t="s">
        <v>24</v>
      </c>
      <c r="G586" s="2" t="s">
        <v>739</v>
      </c>
      <c r="H586" s="2" t="s">
        <v>26</v>
      </c>
      <c r="I586" s="2"/>
      <c r="J586" s="2">
        <v>1318950</v>
      </c>
      <c r="K586" s="2">
        <v>4412</v>
      </c>
      <c r="L586" s="2" t="s">
        <v>27</v>
      </c>
      <c r="M586" s="2" t="s">
        <v>28</v>
      </c>
      <c r="N586" s="2">
        <v>10420</v>
      </c>
    </row>
    <row r="587" spans="1:14">
      <c r="A587" s="6" t="s">
        <v>80</v>
      </c>
      <c r="B587" s="6" t="s">
        <v>81</v>
      </c>
      <c r="C587" s="6"/>
      <c r="D587" s="6">
        <v>3624</v>
      </c>
      <c r="E587" s="6" t="s">
        <v>23</v>
      </c>
      <c r="F587" s="2" t="s">
        <v>24</v>
      </c>
      <c r="G587" s="2" t="s">
        <v>740</v>
      </c>
      <c r="H587" s="2" t="s">
        <v>26</v>
      </c>
      <c r="I587" s="2"/>
      <c r="J587" s="2">
        <v>1317218</v>
      </c>
      <c r="K587" s="2">
        <v>4412</v>
      </c>
      <c r="L587" s="2" t="s">
        <v>27</v>
      </c>
      <c r="M587" s="2" t="s">
        <v>28</v>
      </c>
      <c r="N587" s="2">
        <v>10421</v>
      </c>
    </row>
    <row r="588" spans="1:14">
      <c r="A588" s="6" t="s">
        <v>83</v>
      </c>
      <c r="B588" s="6" t="s">
        <v>84</v>
      </c>
      <c r="C588" s="6"/>
      <c r="D588" s="6">
        <v>3624</v>
      </c>
      <c r="E588" s="6" t="s">
        <v>23</v>
      </c>
      <c r="F588" s="2" t="s">
        <v>24</v>
      </c>
      <c r="G588" s="2" t="s">
        <v>741</v>
      </c>
      <c r="H588" s="2" t="s">
        <v>26</v>
      </c>
      <c r="I588" s="2"/>
      <c r="J588" s="2">
        <v>1319382</v>
      </c>
      <c r="K588" s="2">
        <v>4412</v>
      </c>
      <c r="L588" s="2" t="s">
        <v>27</v>
      </c>
      <c r="M588" s="2" t="s">
        <v>28</v>
      </c>
      <c r="N588" s="2">
        <v>10422</v>
      </c>
    </row>
    <row r="589" spans="1:14">
      <c r="A589" s="6" t="s">
        <v>86</v>
      </c>
      <c r="B589" s="6" t="s">
        <v>87</v>
      </c>
      <c r="C589" s="6"/>
      <c r="D589" s="6">
        <v>3624</v>
      </c>
      <c r="E589" s="6" t="s">
        <v>23</v>
      </c>
      <c r="F589" s="2" t="s">
        <v>24</v>
      </c>
      <c r="G589" s="2" t="s">
        <v>742</v>
      </c>
      <c r="H589" s="2" t="s">
        <v>26</v>
      </c>
      <c r="I589" s="2"/>
      <c r="J589" s="2">
        <v>1317376</v>
      </c>
      <c r="K589" s="2">
        <v>4412</v>
      </c>
      <c r="L589" s="2" t="s">
        <v>27</v>
      </c>
      <c r="M589" s="2" t="s">
        <v>28</v>
      </c>
      <c r="N589" s="2">
        <v>10423</v>
      </c>
    </row>
    <row r="590" spans="1:14">
      <c r="A590" s="6" t="s">
        <v>89</v>
      </c>
      <c r="B590" s="6" t="s">
        <v>90</v>
      </c>
      <c r="C590" s="6"/>
      <c r="D590" s="6">
        <v>3624</v>
      </c>
      <c r="E590" s="6" t="s">
        <v>23</v>
      </c>
      <c r="F590" s="2" t="s">
        <v>24</v>
      </c>
      <c r="G590" s="2" t="s">
        <v>743</v>
      </c>
      <c r="H590" s="2" t="s">
        <v>26</v>
      </c>
      <c r="I590" s="2"/>
      <c r="J590" s="2">
        <v>1317210</v>
      </c>
      <c r="K590" s="2">
        <v>4412</v>
      </c>
      <c r="L590" s="2" t="s">
        <v>27</v>
      </c>
      <c r="M590" s="2" t="s">
        <v>28</v>
      </c>
      <c r="N590" s="2">
        <v>10424</v>
      </c>
    </row>
    <row r="591" spans="1:14">
      <c r="A591" s="6" t="s">
        <v>92</v>
      </c>
      <c r="B591" s="6" t="s">
        <v>93</v>
      </c>
      <c r="C591" s="6"/>
      <c r="D591" s="6">
        <v>3624</v>
      </c>
      <c r="E591" s="6" t="s">
        <v>23</v>
      </c>
      <c r="F591" s="2" t="s">
        <v>24</v>
      </c>
      <c r="G591" s="2" t="s">
        <v>744</v>
      </c>
      <c r="H591" s="2" t="s">
        <v>26</v>
      </c>
      <c r="I591" s="2"/>
      <c r="J591" s="2">
        <v>1319598</v>
      </c>
      <c r="K591" s="2">
        <v>4412</v>
      </c>
      <c r="L591" s="2" t="s">
        <v>27</v>
      </c>
      <c r="M591" s="2" t="s">
        <v>28</v>
      </c>
      <c r="N591" s="2">
        <v>10425</v>
      </c>
    </row>
    <row r="592" spans="1:14">
      <c r="A592" s="6" t="s">
        <v>95</v>
      </c>
      <c r="B592" s="6" t="s">
        <v>96</v>
      </c>
      <c r="C592" s="6"/>
      <c r="D592" s="6">
        <v>3624</v>
      </c>
      <c r="E592" s="6" t="s">
        <v>23</v>
      </c>
      <c r="F592" s="2" t="s">
        <v>24</v>
      </c>
      <c r="G592" s="2" t="s">
        <v>745</v>
      </c>
      <c r="H592" s="2" t="s">
        <v>26</v>
      </c>
      <c r="I592" s="2"/>
      <c r="J592" s="2">
        <v>1317588</v>
      </c>
      <c r="K592" s="2">
        <v>4412</v>
      </c>
      <c r="L592" s="2" t="s">
        <v>27</v>
      </c>
      <c r="M592" s="2" t="s">
        <v>28</v>
      </c>
      <c r="N592" s="2">
        <v>10426</v>
      </c>
    </row>
    <row r="593" spans="1:14">
      <c r="A593" s="7" t="s">
        <v>98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>
        <f>ROWS(A570:N592)</f>
        <v>23</v>
      </c>
    </row>
    <row r="594" spans="1:14">
      <c r="A594" s="7" t="s">
        <v>98</v>
      </c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>
        <f>ROWS(A570:N592)</f>
        <v>23</v>
      </c>
    </row>
    <row r="595" spans="1:14" customHeight="1" ht="20">
      <c r="A595" s="4" t="s">
        <v>746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customHeight="1" ht="20">
      <c r="A596" s="4" t="s">
        <v>6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11</v>
      </c>
      <c r="F597" s="5" t="s">
        <v>12</v>
      </c>
      <c r="G597" s="5" t="s">
        <v>13</v>
      </c>
      <c r="H597" s="5" t="s">
        <v>14</v>
      </c>
      <c r="I597" s="5" t="s">
        <v>15</v>
      </c>
      <c r="J597" s="5" t="s">
        <v>16</v>
      </c>
      <c r="K597" s="5" t="s">
        <v>17</v>
      </c>
      <c r="L597" s="5" t="s">
        <v>18</v>
      </c>
      <c r="M597" s="5" t="s">
        <v>19</v>
      </c>
      <c r="N597" s="5" t="s">
        <v>20</v>
      </c>
    </row>
    <row r="598" spans="1:14">
      <c r="A598" s="6" t="s">
        <v>138</v>
      </c>
      <c r="B598" s="6" t="s">
        <v>139</v>
      </c>
      <c r="C598" s="6"/>
      <c r="D598" s="6">
        <v>3604</v>
      </c>
      <c r="E598" s="6" t="s">
        <v>23</v>
      </c>
      <c r="F598" s="2" t="s">
        <v>24</v>
      </c>
      <c r="G598" s="2" t="s">
        <v>747</v>
      </c>
      <c r="H598" s="2" t="s">
        <v>26</v>
      </c>
      <c r="I598" s="2"/>
      <c r="J598" s="2">
        <v>1317685</v>
      </c>
      <c r="K598" s="2">
        <v>4404</v>
      </c>
      <c r="L598" s="2" t="s">
        <v>27</v>
      </c>
      <c r="M598" s="2" t="s">
        <v>28</v>
      </c>
      <c r="N598" s="2">
        <v>1234</v>
      </c>
    </row>
    <row r="599" spans="1:14">
      <c r="A599" s="6" t="s">
        <v>141</v>
      </c>
      <c r="B599" s="6" t="s">
        <v>142</v>
      </c>
      <c r="C599" s="6"/>
      <c r="D599" s="6">
        <v>3604</v>
      </c>
      <c r="E599" s="6" t="s">
        <v>23</v>
      </c>
      <c r="F599" s="2" t="s">
        <v>24</v>
      </c>
      <c r="G599" s="2" t="s">
        <v>748</v>
      </c>
      <c r="H599" s="2" t="s">
        <v>26</v>
      </c>
      <c r="I599" s="2"/>
      <c r="J599" s="2">
        <v>1317178</v>
      </c>
      <c r="K599" s="2">
        <v>4404</v>
      </c>
      <c r="L599" s="2" t="s">
        <v>27</v>
      </c>
      <c r="M599" s="2" t="s">
        <v>28</v>
      </c>
      <c r="N599" s="2">
        <v>12316</v>
      </c>
    </row>
    <row r="600" spans="1:14">
      <c r="A600" s="6" t="s">
        <v>144</v>
      </c>
      <c r="B600" s="6" t="s">
        <v>145</v>
      </c>
      <c r="C600" s="6"/>
      <c r="D600" s="6">
        <v>3604</v>
      </c>
      <c r="E600" s="6" t="s">
        <v>23</v>
      </c>
      <c r="F600" s="2" t="s">
        <v>24</v>
      </c>
      <c r="G600" s="2" t="s">
        <v>749</v>
      </c>
      <c r="H600" s="2" t="s">
        <v>26</v>
      </c>
      <c r="I600" s="2"/>
      <c r="J600" s="2">
        <v>1317826</v>
      </c>
      <c r="K600" s="2">
        <v>4404</v>
      </c>
      <c r="L600" s="2" t="s">
        <v>27</v>
      </c>
      <c r="M600" s="2" t="s">
        <v>28</v>
      </c>
      <c r="N600" s="2">
        <v>12317</v>
      </c>
    </row>
    <row r="601" spans="1:14">
      <c r="A601" s="6" t="s">
        <v>147</v>
      </c>
      <c r="B601" s="6" t="s">
        <v>148</v>
      </c>
      <c r="C601" s="6"/>
      <c r="D601" s="6">
        <v>3604</v>
      </c>
      <c r="E601" s="6" t="s">
        <v>23</v>
      </c>
      <c r="F601" s="2" t="s">
        <v>24</v>
      </c>
      <c r="G601" s="2" t="s">
        <v>750</v>
      </c>
      <c r="H601" s="2" t="s">
        <v>26</v>
      </c>
      <c r="I601" s="2"/>
      <c r="J601" s="2">
        <v>1316891</v>
      </c>
      <c r="K601" s="2">
        <v>4404</v>
      </c>
      <c r="L601" s="2" t="s">
        <v>27</v>
      </c>
      <c r="M601" s="2" t="s">
        <v>28</v>
      </c>
      <c r="N601" s="2">
        <v>1625</v>
      </c>
    </row>
    <row r="602" spans="1:14">
      <c r="A602" s="6" t="s">
        <v>150</v>
      </c>
      <c r="B602" s="6" t="s">
        <v>151</v>
      </c>
      <c r="C602" s="6"/>
      <c r="D602" s="6">
        <v>3604</v>
      </c>
      <c r="E602" s="6" t="s">
        <v>23</v>
      </c>
      <c r="F602" s="2" t="s">
        <v>24</v>
      </c>
      <c r="G602" s="2" t="s">
        <v>751</v>
      </c>
      <c r="H602" s="2" t="s">
        <v>26</v>
      </c>
      <c r="I602" s="2"/>
      <c r="J602" s="2">
        <v>1317035</v>
      </c>
      <c r="K602" s="2">
        <v>4404</v>
      </c>
      <c r="L602" s="2" t="s">
        <v>27</v>
      </c>
      <c r="M602" s="2" t="s">
        <v>28</v>
      </c>
      <c r="N602" s="2">
        <v>6680</v>
      </c>
    </row>
    <row r="603" spans="1:14">
      <c r="A603" s="6" t="s">
        <v>153</v>
      </c>
      <c r="B603" s="6" t="s">
        <v>154</v>
      </c>
      <c r="C603" s="6"/>
      <c r="D603" s="6">
        <v>3604</v>
      </c>
      <c r="E603" s="6" t="s">
        <v>23</v>
      </c>
      <c r="F603" s="2" t="s">
        <v>24</v>
      </c>
      <c r="G603" s="2" t="s">
        <v>752</v>
      </c>
      <c r="H603" s="2" t="s">
        <v>26</v>
      </c>
      <c r="I603" s="2"/>
      <c r="J603" s="2">
        <v>1316806</v>
      </c>
      <c r="K603" s="2">
        <v>4404</v>
      </c>
      <c r="L603" s="2" t="s">
        <v>27</v>
      </c>
      <c r="M603" s="2" t="s">
        <v>28</v>
      </c>
      <c r="N603" s="2">
        <v>12318</v>
      </c>
    </row>
    <row r="604" spans="1:14">
      <c r="A604" s="6" t="s">
        <v>156</v>
      </c>
      <c r="B604" s="6" t="s">
        <v>157</v>
      </c>
      <c r="C604" s="6"/>
      <c r="D604" s="6">
        <v>3604</v>
      </c>
      <c r="E604" s="6" t="s">
        <v>23</v>
      </c>
      <c r="F604" s="2" t="s">
        <v>24</v>
      </c>
      <c r="G604" s="2" t="s">
        <v>753</v>
      </c>
      <c r="H604" s="2" t="s">
        <v>26</v>
      </c>
      <c r="I604" s="2"/>
      <c r="J604" s="2">
        <v>1319413</v>
      </c>
      <c r="K604" s="2">
        <v>4404</v>
      </c>
      <c r="L604" s="2" t="s">
        <v>27</v>
      </c>
      <c r="M604" s="2" t="s">
        <v>28</v>
      </c>
      <c r="N604" s="2">
        <v>12319</v>
      </c>
    </row>
    <row r="605" spans="1:14">
      <c r="A605" s="6" t="s">
        <v>159</v>
      </c>
      <c r="B605" s="6" t="s">
        <v>160</v>
      </c>
      <c r="C605" s="6"/>
      <c r="D605" s="6">
        <v>3604</v>
      </c>
      <c r="E605" s="6" t="s">
        <v>23</v>
      </c>
      <c r="F605" s="2" t="s">
        <v>24</v>
      </c>
      <c r="G605" s="2" t="s">
        <v>754</v>
      </c>
      <c r="H605" s="2" t="s">
        <v>26</v>
      </c>
      <c r="I605" s="2"/>
      <c r="J605" s="2">
        <v>1316880</v>
      </c>
      <c r="K605" s="2">
        <v>4404</v>
      </c>
      <c r="L605" s="2" t="s">
        <v>27</v>
      </c>
      <c r="M605" s="2" t="s">
        <v>28</v>
      </c>
      <c r="N605" s="2">
        <v>3123</v>
      </c>
    </row>
    <row r="606" spans="1:14">
      <c r="A606" s="6" t="s">
        <v>165</v>
      </c>
      <c r="B606" s="6" t="s">
        <v>166</v>
      </c>
      <c r="C606" s="6"/>
      <c r="D606" s="6">
        <v>3604</v>
      </c>
      <c r="E606" s="6" t="s">
        <v>23</v>
      </c>
      <c r="F606" s="2" t="s">
        <v>24</v>
      </c>
      <c r="G606" s="2" t="s">
        <v>755</v>
      </c>
      <c r="H606" s="2" t="s">
        <v>26</v>
      </c>
      <c r="I606" s="2"/>
      <c r="J606" s="2">
        <v>1316814</v>
      </c>
      <c r="K606" s="2">
        <v>4404</v>
      </c>
      <c r="L606" s="2" t="s">
        <v>27</v>
      </c>
      <c r="M606" s="2" t="s">
        <v>28</v>
      </c>
      <c r="N606" s="2">
        <v>12320</v>
      </c>
    </row>
    <row r="607" spans="1:14">
      <c r="A607" s="6" t="s">
        <v>168</v>
      </c>
      <c r="B607" s="6" t="s">
        <v>169</v>
      </c>
      <c r="C607" s="6"/>
      <c r="D607" s="6">
        <v>3604</v>
      </c>
      <c r="E607" s="6" t="s">
        <v>23</v>
      </c>
      <c r="F607" s="2" t="s">
        <v>24</v>
      </c>
      <c r="G607" s="2" t="s">
        <v>756</v>
      </c>
      <c r="H607" s="2" t="s">
        <v>26</v>
      </c>
      <c r="I607" s="2"/>
      <c r="J607" s="2">
        <v>1321010</v>
      </c>
      <c r="K607" s="2">
        <v>4404</v>
      </c>
      <c r="L607" s="2" t="s">
        <v>27</v>
      </c>
      <c r="M607" s="2" t="s">
        <v>28</v>
      </c>
      <c r="N607" s="2">
        <v>12321</v>
      </c>
    </row>
    <row r="608" spans="1:14">
      <c r="A608" s="6" t="s">
        <v>171</v>
      </c>
      <c r="B608" s="6" t="s">
        <v>172</v>
      </c>
      <c r="C608" s="6"/>
      <c r="D608" s="6">
        <v>3604</v>
      </c>
      <c r="E608" s="6" t="s">
        <v>23</v>
      </c>
      <c r="F608" s="2" t="s">
        <v>24</v>
      </c>
      <c r="G608" s="2" t="s">
        <v>757</v>
      </c>
      <c r="H608" s="2" t="s">
        <v>26</v>
      </c>
      <c r="I608" s="2"/>
      <c r="J608" s="2">
        <v>1316863</v>
      </c>
      <c r="K608" s="2">
        <v>4404</v>
      </c>
      <c r="L608" s="2" t="s">
        <v>27</v>
      </c>
      <c r="M608" s="2" t="s">
        <v>28</v>
      </c>
      <c r="N608" s="2">
        <v>12322</v>
      </c>
    </row>
    <row r="609" spans="1:14">
      <c r="A609" s="6" t="s">
        <v>174</v>
      </c>
      <c r="B609" s="6" t="s">
        <v>175</v>
      </c>
      <c r="C609" s="6"/>
      <c r="D609" s="6">
        <v>3604</v>
      </c>
      <c r="E609" s="6" t="s">
        <v>23</v>
      </c>
      <c r="F609" s="2" t="s">
        <v>24</v>
      </c>
      <c r="G609" s="2" t="s">
        <v>758</v>
      </c>
      <c r="H609" s="2" t="s">
        <v>26</v>
      </c>
      <c r="I609" s="2"/>
      <c r="J609" s="2">
        <v>1317740</v>
      </c>
      <c r="K609" s="2">
        <v>4404</v>
      </c>
      <c r="L609" s="2" t="s">
        <v>27</v>
      </c>
      <c r="M609" s="2" t="s">
        <v>28</v>
      </c>
      <c r="N609" s="2">
        <v>12323</v>
      </c>
    </row>
    <row r="610" spans="1:14">
      <c r="A610" s="6" t="s">
        <v>177</v>
      </c>
      <c r="B610" s="6" t="s">
        <v>178</v>
      </c>
      <c r="C610" s="6"/>
      <c r="D610" s="6">
        <v>3604</v>
      </c>
      <c r="E610" s="6" t="s">
        <v>23</v>
      </c>
      <c r="F610" s="2" t="s">
        <v>24</v>
      </c>
      <c r="G610" s="2" t="s">
        <v>759</v>
      </c>
      <c r="H610" s="2" t="s">
        <v>26</v>
      </c>
      <c r="I610" s="2"/>
      <c r="J610" s="2">
        <v>1317087</v>
      </c>
      <c r="K610" s="2">
        <v>4404</v>
      </c>
      <c r="L610" s="2" t="s">
        <v>27</v>
      </c>
      <c r="M610" s="2" t="s">
        <v>28</v>
      </c>
      <c r="N610" s="2">
        <v>12324</v>
      </c>
    </row>
    <row r="611" spans="1:14">
      <c r="A611" s="6" t="s">
        <v>180</v>
      </c>
      <c r="B611" s="6" t="s">
        <v>181</v>
      </c>
      <c r="C611" s="6"/>
      <c r="D611" s="6">
        <v>3604</v>
      </c>
      <c r="E611" s="6" t="s">
        <v>23</v>
      </c>
      <c r="F611" s="2" t="s">
        <v>24</v>
      </c>
      <c r="G611" s="2" t="s">
        <v>760</v>
      </c>
      <c r="H611" s="2" t="s">
        <v>26</v>
      </c>
      <c r="I611" s="2"/>
      <c r="J611" s="2">
        <v>1317874</v>
      </c>
      <c r="K611" s="2">
        <v>4404</v>
      </c>
      <c r="L611" s="2" t="s">
        <v>27</v>
      </c>
      <c r="M611" s="2" t="s">
        <v>28</v>
      </c>
      <c r="N611" s="2">
        <v>12325</v>
      </c>
    </row>
    <row r="612" spans="1:14">
      <c r="A612" s="6" t="s">
        <v>183</v>
      </c>
      <c r="B612" s="6" t="s">
        <v>184</v>
      </c>
      <c r="C612" s="6"/>
      <c r="D612" s="6">
        <v>3604</v>
      </c>
      <c r="E612" s="6" t="s">
        <v>23</v>
      </c>
      <c r="F612" s="2" t="s">
        <v>24</v>
      </c>
      <c r="G612" s="2" t="s">
        <v>761</v>
      </c>
      <c r="H612" s="2" t="s">
        <v>26</v>
      </c>
      <c r="I612" s="2"/>
      <c r="J612" s="2">
        <v>1318265</v>
      </c>
      <c r="K612" s="2">
        <v>4404</v>
      </c>
      <c r="L612" s="2" t="s">
        <v>27</v>
      </c>
      <c r="M612" s="2" t="s">
        <v>28</v>
      </c>
      <c r="N612" s="2">
        <v>12326</v>
      </c>
    </row>
    <row r="613" spans="1:14">
      <c r="A613" s="6" t="s">
        <v>186</v>
      </c>
      <c r="B613" s="6" t="s">
        <v>187</v>
      </c>
      <c r="C613" s="6"/>
      <c r="D613" s="6">
        <v>3604</v>
      </c>
      <c r="E613" s="6" t="s">
        <v>23</v>
      </c>
      <c r="F613" s="2" t="s">
        <v>24</v>
      </c>
      <c r="G613" s="2" t="s">
        <v>762</v>
      </c>
      <c r="H613" s="2" t="s">
        <v>26</v>
      </c>
      <c r="I613" s="2"/>
      <c r="J613" s="2">
        <v>1316938</v>
      </c>
      <c r="K613" s="2">
        <v>4404</v>
      </c>
      <c r="L613" s="2" t="s">
        <v>27</v>
      </c>
      <c r="M613" s="2" t="s">
        <v>28</v>
      </c>
      <c r="N613" s="2">
        <v>1628</v>
      </c>
    </row>
    <row r="614" spans="1:14">
      <c r="A614" s="6" t="s">
        <v>189</v>
      </c>
      <c r="B614" s="6" t="s">
        <v>190</v>
      </c>
      <c r="C614" s="6"/>
      <c r="D614" s="6">
        <v>3604</v>
      </c>
      <c r="E614" s="6" t="s">
        <v>23</v>
      </c>
      <c r="F614" s="2" t="s">
        <v>24</v>
      </c>
      <c r="G614" s="2" t="s">
        <v>763</v>
      </c>
      <c r="H614" s="2" t="s">
        <v>26</v>
      </c>
      <c r="I614" s="2"/>
      <c r="J614" s="2">
        <v>1317249</v>
      </c>
      <c r="K614" s="2">
        <v>4404</v>
      </c>
      <c r="L614" s="2" t="s">
        <v>27</v>
      </c>
      <c r="M614" s="2" t="s">
        <v>28</v>
      </c>
      <c r="N614" s="2">
        <v>8433</v>
      </c>
    </row>
    <row r="615" spans="1:14">
      <c r="A615" s="6" t="s">
        <v>192</v>
      </c>
      <c r="B615" s="6" t="s">
        <v>193</v>
      </c>
      <c r="C615" s="6"/>
      <c r="D615" s="6">
        <v>3604</v>
      </c>
      <c r="E615" s="6" t="s">
        <v>23</v>
      </c>
      <c r="F615" s="2" t="s">
        <v>24</v>
      </c>
      <c r="G615" s="2" t="s">
        <v>764</v>
      </c>
      <c r="H615" s="2" t="s">
        <v>26</v>
      </c>
      <c r="I615" s="2"/>
      <c r="J615" s="2">
        <v>1318476</v>
      </c>
      <c r="K615" s="2">
        <v>4404</v>
      </c>
      <c r="L615" s="2" t="s">
        <v>27</v>
      </c>
      <c r="M615" s="2" t="s">
        <v>28</v>
      </c>
      <c r="N615" s="2">
        <v>43</v>
      </c>
    </row>
    <row r="616" spans="1:14">
      <c r="A616" s="6" t="s">
        <v>195</v>
      </c>
      <c r="B616" s="6" t="s">
        <v>196</v>
      </c>
      <c r="C616" s="6"/>
      <c r="D616" s="6">
        <v>3604</v>
      </c>
      <c r="E616" s="6" t="s">
        <v>23</v>
      </c>
      <c r="F616" s="2" t="s">
        <v>24</v>
      </c>
      <c r="G616" s="2" t="s">
        <v>765</v>
      </c>
      <c r="H616" s="2" t="s">
        <v>26</v>
      </c>
      <c r="I616" s="2"/>
      <c r="J616" s="2">
        <v>1319405</v>
      </c>
      <c r="K616" s="2">
        <v>4404</v>
      </c>
      <c r="L616" s="2" t="s">
        <v>27</v>
      </c>
      <c r="M616" s="2" t="s">
        <v>28</v>
      </c>
      <c r="N616" s="2">
        <v>12328</v>
      </c>
    </row>
    <row r="617" spans="1:14">
      <c r="A617" s="6" t="s">
        <v>198</v>
      </c>
      <c r="B617" s="6" t="s">
        <v>199</v>
      </c>
      <c r="C617" s="6"/>
      <c r="D617" s="6">
        <v>3604</v>
      </c>
      <c r="E617" s="6" t="s">
        <v>23</v>
      </c>
      <c r="F617" s="2" t="s">
        <v>24</v>
      </c>
      <c r="G617" s="2" t="s">
        <v>766</v>
      </c>
      <c r="H617" s="2" t="s">
        <v>26</v>
      </c>
      <c r="I617" s="2"/>
      <c r="J617" s="2">
        <v>1319023</v>
      </c>
      <c r="K617" s="2">
        <v>4404</v>
      </c>
      <c r="L617" s="2" t="s">
        <v>27</v>
      </c>
      <c r="M617" s="2" t="s">
        <v>28</v>
      </c>
      <c r="N617" s="2">
        <v>12329</v>
      </c>
    </row>
    <row r="618" spans="1:14">
      <c r="A618" s="6" t="s">
        <v>201</v>
      </c>
      <c r="B618" s="6" t="s">
        <v>202</v>
      </c>
      <c r="C618" s="6"/>
      <c r="D618" s="6">
        <v>3604</v>
      </c>
      <c r="E618" s="6" t="s">
        <v>23</v>
      </c>
      <c r="F618" s="2" t="s">
        <v>24</v>
      </c>
      <c r="G618" s="2" t="s">
        <v>767</v>
      </c>
      <c r="H618" s="2" t="s">
        <v>26</v>
      </c>
      <c r="I618" s="2"/>
      <c r="J618" s="2">
        <v>1316777</v>
      </c>
      <c r="K618" s="2">
        <v>4404</v>
      </c>
      <c r="L618" s="2" t="s">
        <v>27</v>
      </c>
      <c r="M618" s="2" t="s">
        <v>28</v>
      </c>
      <c r="N618" s="2">
        <v>1143</v>
      </c>
    </row>
    <row r="619" spans="1:14">
      <c r="A619" s="6" t="s">
        <v>205</v>
      </c>
      <c r="B619" s="6" t="s">
        <v>206</v>
      </c>
      <c r="C619" s="6"/>
      <c r="D619" s="6">
        <v>3604</v>
      </c>
      <c r="E619" s="6" t="s">
        <v>23</v>
      </c>
      <c r="F619" s="2" t="s">
        <v>24</v>
      </c>
      <c r="G619" s="2" t="s">
        <v>768</v>
      </c>
      <c r="H619" s="2" t="s">
        <v>26</v>
      </c>
      <c r="I619" s="2"/>
      <c r="J619" s="2">
        <v>1317418</v>
      </c>
      <c r="K619" s="2">
        <v>4404</v>
      </c>
      <c r="L619" s="2" t="s">
        <v>27</v>
      </c>
      <c r="M619" s="2" t="s">
        <v>28</v>
      </c>
      <c r="N619" s="2">
        <v>12330</v>
      </c>
    </row>
    <row r="620" spans="1:14">
      <c r="A620" s="6" t="s">
        <v>208</v>
      </c>
      <c r="B620" s="6" t="s">
        <v>209</v>
      </c>
      <c r="C620" s="6"/>
      <c r="D620" s="6">
        <v>3604</v>
      </c>
      <c r="E620" s="6" t="s">
        <v>23</v>
      </c>
      <c r="F620" s="2" t="s">
        <v>24</v>
      </c>
      <c r="G620" s="2" t="s">
        <v>769</v>
      </c>
      <c r="H620" s="2" t="s">
        <v>26</v>
      </c>
      <c r="I620" s="2"/>
      <c r="J620" s="2">
        <v>1317747</v>
      </c>
      <c r="K620" s="2">
        <v>4404</v>
      </c>
      <c r="L620" s="2" t="s">
        <v>27</v>
      </c>
      <c r="M620" s="2" t="s">
        <v>28</v>
      </c>
      <c r="N620" s="2">
        <v>12331</v>
      </c>
    </row>
    <row r="621" spans="1:14">
      <c r="A621" s="6" t="s">
        <v>211</v>
      </c>
      <c r="B621" s="6" t="s">
        <v>212</v>
      </c>
      <c r="C621" s="6"/>
      <c r="D621" s="6">
        <v>3604</v>
      </c>
      <c r="E621" s="6" t="s">
        <v>23</v>
      </c>
      <c r="F621" s="2" t="s">
        <v>24</v>
      </c>
      <c r="G621" s="2" t="s">
        <v>770</v>
      </c>
      <c r="H621" s="2" t="s">
        <v>26</v>
      </c>
      <c r="I621" s="2"/>
      <c r="J621" s="2">
        <v>1317076</v>
      </c>
      <c r="K621" s="2">
        <v>4404</v>
      </c>
      <c r="L621" s="2" t="s">
        <v>27</v>
      </c>
      <c r="M621" s="2" t="s">
        <v>28</v>
      </c>
      <c r="N621" s="2">
        <v>12332</v>
      </c>
    </row>
    <row r="622" spans="1:14">
      <c r="A622" s="6" t="s">
        <v>214</v>
      </c>
      <c r="B622" s="6" t="s">
        <v>215</v>
      </c>
      <c r="C622" s="6"/>
      <c r="D622" s="6">
        <v>3604</v>
      </c>
      <c r="E622" s="6" t="s">
        <v>23</v>
      </c>
      <c r="F622" s="2" t="s">
        <v>24</v>
      </c>
      <c r="G622" s="2" t="s">
        <v>771</v>
      </c>
      <c r="H622" s="2" t="s">
        <v>26</v>
      </c>
      <c r="I622" s="2"/>
      <c r="J622" s="2">
        <v>1316887</v>
      </c>
      <c r="K622" s="2">
        <v>4404</v>
      </c>
      <c r="L622" s="2" t="s">
        <v>27</v>
      </c>
      <c r="M622" s="2" t="s">
        <v>28</v>
      </c>
      <c r="N622" s="2">
        <v>12333</v>
      </c>
    </row>
    <row r="623" spans="1:14">
      <c r="A623" s="6" t="s">
        <v>217</v>
      </c>
      <c r="B623" s="6" t="s">
        <v>218</v>
      </c>
      <c r="C623" s="6"/>
      <c r="D623" s="6">
        <v>3604</v>
      </c>
      <c r="E623" s="6" t="s">
        <v>23</v>
      </c>
      <c r="F623" s="2" t="s">
        <v>24</v>
      </c>
      <c r="G623" s="2" t="s">
        <v>772</v>
      </c>
      <c r="H623" s="2" t="s">
        <v>26</v>
      </c>
      <c r="I623" s="2"/>
      <c r="J623" s="2">
        <v>1317037</v>
      </c>
      <c r="K623" s="2">
        <v>4404</v>
      </c>
      <c r="L623" s="2" t="s">
        <v>27</v>
      </c>
      <c r="M623" s="2" t="s">
        <v>28</v>
      </c>
      <c r="N623" s="2">
        <v>12334</v>
      </c>
    </row>
    <row r="624" spans="1:14">
      <c r="A624" s="6" t="s">
        <v>220</v>
      </c>
      <c r="B624" s="6" t="s">
        <v>221</v>
      </c>
      <c r="C624" s="6"/>
      <c r="D624" s="6">
        <v>3604</v>
      </c>
      <c r="E624" s="6" t="s">
        <v>23</v>
      </c>
      <c r="F624" s="2" t="s">
        <v>24</v>
      </c>
      <c r="G624" s="2" t="s">
        <v>773</v>
      </c>
      <c r="H624" s="2" t="s">
        <v>26</v>
      </c>
      <c r="I624" s="2"/>
      <c r="J624" s="2">
        <v>1316773</v>
      </c>
      <c r="K624" s="2">
        <v>4404</v>
      </c>
      <c r="L624" s="2" t="s">
        <v>27</v>
      </c>
      <c r="M624" s="2" t="s">
        <v>28</v>
      </c>
      <c r="N624" s="2">
        <v>12335</v>
      </c>
    </row>
    <row r="625" spans="1:14">
      <c r="A625" s="6" t="s">
        <v>223</v>
      </c>
      <c r="B625" s="6" t="s">
        <v>224</v>
      </c>
      <c r="C625" s="6"/>
      <c r="D625" s="6">
        <v>3604</v>
      </c>
      <c r="E625" s="6" t="s">
        <v>23</v>
      </c>
      <c r="F625" s="2" t="s">
        <v>24</v>
      </c>
      <c r="G625" s="2" t="s">
        <v>774</v>
      </c>
      <c r="H625" s="2" t="s">
        <v>26</v>
      </c>
      <c r="I625" s="2"/>
      <c r="J625" s="2">
        <v>1317047</v>
      </c>
      <c r="K625" s="2">
        <v>4404</v>
      </c>
      <c r="L625" s="2" t="s">
        <v>27</v>
      </c>
      <c r="M625" s="2" t="s">
        <v>28</v>
      </c>
      <c r="N625" s="2">
        <v>12337</v>
      </c>
    </row>
    <row r="626" spans="1:14">
      <c r="A626" s="6" t="s">
        <v>226</v>
      </c>
      <c r="B626" s="6" t="s">
        <v>227</v>
      </c>
      <c r="C626" s="6"/>
      <c r="D626" s="6">
        <v>3604</v>
      </c>
      <c r="E626" s="6" t="s">
        <v>23</v>
      </c>
      <c r="F626" s="2" t="s">
        <v>24</v>
      </c>
      <c r="G626" s="2" t="s">
        <v>775</v>
      </c>
      <c r="H626" s="2" t="s">
        <v>26</v>
      </c>
      <c r="I626" s="2"/>
      <c r="J626" s="2">
        <v>1316874</v>
      </c>
      <c r="K626" s="2">
        <v>4404</v>
      </c>
      <c r="L626" s="2" t="s">
        <v>27</v>
      </c>
      <c r="M626" s="2" t="s">
        <v>28</v>
      </c>
      <c r="N626" s="2">
        <v>12338</v>
      </c>
    </row>
    <row r="627" spans="1:14">
      <c r="A627" s="6" t="s">
        <v>229</v>
      </c>
      <c r="B627" s="6" t="s">
        <v>230</v>
      </c>
      <c r="C627" s="6"/>
      <c r="D627" s="6">
        <v>3604</v>
      </c>
      <c r="E627" s="6" t="s">
        <v>23</v>
      </c>
      <c r="F627" s="2" t="s">
        <v>24</v>
      </c>
      <c r="G627" s="2" t="s">
        <v>776</v>
      </c>
      <c r="H627" s="2" t="s">
        <v>26</v>
      </c>
      <c r="I627" s="2"/>
      <c r="J627" s="2">
        <v>1316985</v>
      </c>
      <c r="K627" s="2">
        <v>4404</v>
      </c>
      <c r="L627" s="2" t="s">
        <v>27</v>
      </c>
      <c r="M627" s="2" t="s">
        <v>28</v>
      </c>
      <c r="N627" s="2">
        <v>2629</v>
      </c>
    </row>
    <row r="628" spans="1:14">
      <c r="A628" s="6" t="s">
        <v>232</v>
      </c>
      <c r="B628" s="6" t="s">
        <v>233</v>
      </c>
      <c r="C628" s="6"/>
      <c r="D628" s="6">
        <v>3604</v>
      </c>
      <c r="E628" s="6" t="s">
        <v>23</v>
      </c>
      <c r="F628" s="2" t="s">
        <v>24</v>
      </c>
      <c r="G628" s="2" t="s">
        <v>777</v>
      </c>
      <c r="H628" s="2" t="s">
        <v>26</v>
      </c>
      <c r="I628" s="2"/>
      <c r="J628" s="2">
        <v>1316879</v>
      </c>
      <c r="K628" s="2">
        <v>4404</v>
      </c>
      <c r="L628" s="2" t="s">
        <v>27</v>
      </c>
      <c r="M628" s="2" t="s">
        <v>28</v>
      </c>
      <c r="N628" s="2">
        <v>12382</v>
      </c>
    </row>
    <row r="629" spans="1:14">
      <c r="A629" s="6" t="s">
        <v>235</v>
      </c>
      <c r="B629" s="6" t="s">
        <v>236</v>
      </c>
      <c r="C629" s="6"/>
      <c r="D629" s="6">
        <v>3604</v>
      </c>
      <c r="E629" s="6" t="s">
        <v>23</v>
      </c>
      <c r="F629" s="2" t="s">
        <v>24</v>
      </c>
      <c r="G629" s="2" t="s">
        <v>778</v>
      </c>
      <c r="H629" s="2" t="s">
        <v>26</v>
      </c>
      <c r="I629" s="2"/>
      <c r="J629" s="2">
        <v>1316990</v>
      </c>
      <c r="K629" s="2">
        <v>4404</v>
      </c>
      <c r="L629" s="2" t="s">
        <v>27</v>
      </c>
      <c r="M629" s="2" t="s">
        <v>28</v>
      </c>
      <c r="N629" s="2">
        <v>12339</v>
      </c>
    </row>
    <row r="630" spans="1:14">
      <c r="A630" s="6" t="s">
        <v>238</v>
      </c>
      <c r="B630" s="6" t="s">
        <v>239</v>
      </c>
      <c r="C630" s="6"/>
      <c r="D630" s="6">
        <v>3604</v>
      </c>
      <c r="E630" s="6" t="s">
        <v>23</v>
      </c>
      <c r="F630" s="2" t="s">
        <v>24</v>
      </c>
      <c r="G630" s="2" t="s">
        <v>779</v>
      </c>
      <c r="H630" s="2" t="s">
        <v>26</v>
      </c>
      <c r="I630" s="2"/>
      <c r="J630" s="2">
        <v>1317329</v>
      </c>
      <c r="K630" s="2">
        <v>4404</v>
      </c>
      <c r="L630" s="2" t="s">
        <v>27</v>
      </c>
      <c r="M630" s="2" t="s">
        <v>28</v>
      </c>
      <c r="N630" s="2">
        <v>12341</v>
      </c>
    </row>
    <row r="631" spans="1:14">
      <c r="A631" s="6" t="s">
        <v>241</v>
      </c>
      <c r="B631" s="6" t="s">
        <v>242</v>
      </c>
      <c r="C631" s="6"/>
      <c r="D631" s="6">
        <v>3604</v>
      </c>
      <c r="E631" s="6" t="s">
        <v>23</v>
      </c>
      <c r="F631" s="2" t="s">
        <v>24</v>
      </c>
      <c r="G631" s="2" t="s">
        <v>780</v>
      </c>
      <c r="H631" s="2" t="s">
        <v>26</v>
      </c>
      <c r="I631" s="2"/>
      <c r="J631" s="2">
        <v>1316875</v>
      </c>
      <c r="K631" s="2">
        <v>4404</v>
      </c>
      <c r="L631" s="2" t="s">
        <v>27</v>
      </c>
      <c r="M631" s="2" t="s">
        <v>28</v>
      </c>
      <c r="N631" s="2">
        <v>12345</v>
      </c>
    </row>
    <row r="632" spans="1:14">
      <c r="A632" s="6" t="s">
        <v>244</v>
      </c>
      <c r="B632" s="6" t="s">
        <v>245</v>
      </c>
      <c r="C632" s="6"/>
      <c r="D632" s="6">
        <v>3604</v>
      </c>
      <c r="E632" s="6" t="s">
        <v>23</v>
      </c>
      <c r="F632" s="2" t="s">
        <v>24</v>
      </c>
      <c r="G632" s="2" t="s">
        <v>781</v>
      </c>
      <c r="H632" s="2" t="s">
        <v>26</v>
      </c>
      <c r="I632" s="2"/>
      <c r="J632" s="2">
        <v>1317093</v>
      </c>
      <c r="K632" s="2">
        <v>4404</v>
      </c>
      <c r="L632" s="2" t="s">
        <v>27</v>
      </c>
      <c r="M632" s="2" t="s">
        <v>28</v>
      </c>
      <c r="N632" s="2">
        <v>12346</v>
      </c>
    </row>
    <row r="633" spans="1:14">
      <c r="A633" s="6" t="s">
        <v>247</v>
      </c>
      <c r="B633" s="6" t="s">
        <v>248</v>
      </c>
      <c r="C633" s="6"/>
      <c r="D633" s="6">
        <v>3604</v>
      </c>
      <c r="E633" s="6" t="s">
        <v>23</v>
      </c>
      <c r="F633" s="2" t="s">
        <v>24</v>
      </c>
      <c r="G633" s="2" t="s">
        <v>782</v>
      </c>
      <c r="H633" s="2" t="s">
        <v>26</v>
      </c>
      <c r="I633" s="2"/>
      <c r="J633" s="2">
        <v>1317552</v>
      </c>
      <c r="K633" s="2">
        <v>4404</v>
      </c>
      <c r="L633" s="2" t="s">
        <v>27</v>
      </c>
      <c r="M633" s="2" t="s">
        <v>28</v>
      </c>
      <c r="N633" s="2">
        <v>1633</v>
      </c>
    </row>
    <row r="634" spans="1:14">
      <c r="A634" s="6" t="s">
        <v>250</v>
      </c>
      <c r="B634" s="6" t="s">
        <v>251</v>
      </c>
      <c r="C634" s="6"/>
      <c r="D634" s="6">
        <v>3604</v>
      </c>
      <c r="E634" s="6" t="s">
        <v>23</v>
      </c>
      <c r="F634" s="2" t="s">
        <v>24</v>
      </c>
      <c r="G634" s="2" t="s">
        <v>783</v>
      </c>
      <c r="H634" s="2" t="s">
        <v>26</v>
      </c>
      <c r="I634" s="2"/>
      <c r="J634" s="2">
        <v>1316895</v>
      </c>
      <c r="K634" s="2">
        <v>4404</v>
      </c>
      <c r="L634" s="2" t="s">
        <v>27</v>
      </c>
      <c r="M634" s="2" t="s">
        <v>28</v>
      </c>
      <c r="N634" s="2">
        <v>12347</v>
      </c>
    </row>
    <row r="635" spans="1:14">
      <c r="A635" s="6" t="s">
        <v>253</v>
      </c>
      <c r="B635" s="6" t="s">
        <v>254</v>
      </c>
      <c r="C635" s="6"/>
      <c r="D635" s="6">
        <v>3604</v>
      </c>
      <c r="E635" s="6" t="s">
        <v>23</v>
      </c>
      <c r="F635" s="2" t="s">
        <v>24</v>
      </c>
      <c r="G635" s="2" t="s">
        <v>784</v>
      </c>
      <c r="H635" s="2" t="s">
        <v>26</v>
      </c>
      <c r="I635" s="2"/>
      <c r="J635" s="2">
        <v>1316788</v>
      </c>
      <c r="K635" s="2">
        <v>4404</v>
      </c>
      <c r="L635" s="2" t="s">
        <v>27</v>
      </c>
      <c r="M635" s="2" t="s">
        <v>28</v>
      </c>
      <c r="N635" s="2">
        <v>12348</v>
      </c>
    </row>
    <row r="636" spans="1:14">
      <c r="A636" s="6" t="s">
        <v>256</v>
      </c>
      <c r="B636" s="6" t="s">
        <v>257</v>
      </c>
      <c r="C636" s="6"/>
      <c r="D636" s="6">
        <v>3604</v>
      </c>
      <c r="E636" s="6" t="s">
        <v>23</v>
      </c>
      <c r="F636" s="2" t="s">
        <v>24</v>
      </c>
      <c r="G636" s="2" t="s">
        <v>785</v>
      </c>
      <c r="H636" s="2" t="s">
        <v>26</v>
      </c>
      <c r="I636" s="2"/>
      <c r="J636" s="2">
        <v>1317185</v>
      </c>
      <c r="K636" s="2">
        <v>4404</v>
      </c>
      <c r="L636" s="2" t="s">
        <v>27</v>
      </c>
      <c r="M636" s="2" t="s">
        <v>28</v>
      </c>
      <c r="N636" s="2">
        <v>12349</v>
      </c>
    </row>
    <row r="637" spans="1:14">
      <c r="A637" s="6" t="s">
        <v>259</v>
      </c>
      <c r="B637" s="6" t="s">
        <v>260</v>
      </c>
      <c r="C637" s="6"/>
      <c r="D637" s="6">
        <v>3604</v>
      </c>
      <c r="E637" s="6" t="s">
        <v>23</v>
      </c>
      <c r="F637" s="2" t="s">
        <v>24</v>
      </c>
      <c r="G637" s="2" t="s">
        <v>786</v>
      </c>
      <c r="H637" s="2" t="s">
        <v>26</v>
      </c>
      <c r="I637" s="2"/>
      <c r="J637" s="2">
        <v>1317144</v>
      </c>
      <c r="K637" s="2">
        <v>4404</v>
      </c>
      <c r="L637" s="2" t="s">
        <v>27</v>
      </c>
      <c r="M637" s="2" t="s">
        <v>28</v>
      </c>
      <c r="N637" s="2">
        <v>12350</v>
      </c>
    </row>
    <row r="638" spans="1:14">
      <c r="A638" s="6" t="s">
        <v>262</v>
      </c>
      <c r="B638" s="6" t="s">
        <v>263</v>
      </c>
      <c r="C638" s="6"/>
      <c r="D638" s="6">
        <v>3604</v>
      </c>
      <c r="E638" s="6" t="s">
        <v>23</v>
      </c>
      <c r="F638" s="2" t="s">
        <v>24</v>
      </c>
      <c r="G638" s="2" t="s">
        <v>787</v>
      </c>
      <c r="H638" s="2" t="s">
        <v>26</v>
      </c>
      <c r="I638" s="2"/>
      <c r="J638" s="2">
        <v>1319627</v>
      </c>
      <c r="K638" s="2">
        <v>4404</v>
      </c>
      <c r="L638" s="2" t="s">
        <v>27</v>
      </c>
      <c r="M638" s="2" t="s">
        <v>28</v>
      </c>
      <c r="N638" s="2">
        <v>12351</v>
      </c>
    </row>
    <row r="639" spans="1:14">
      <c r="A639" s="6" t="s">
        <v>265</v>
      </c>
      <c r="B639" s="6" t="s">
        <v>266</v>
      </c>
      <c r="C639" s="6"/>
      <c r="D639" s="6">
        <v>3604</v>
      </c>
      <c r="E639" s="6" t="s">
        <v>23</v>
      </c>
      <c r="F639" s="2" t="s">
        <v>24</v>
      </c>
      <c r="G639" s="2" t="s">
        <v>788</v>
      </c>
      <c r="H639" s="2" t="s">
        <v>26</v>
      </c>
      <c r="I639" s="2"/>
      <c r="J639" s="2">
        <v>1317059</v>
      </c>
      <c r="K639" s="2">
        <v>4404</v>
      </c>
      <c r="L639" s="2" t="s">
        <v>27</v>
      </c>
      <c r="M639" s="2" t="s">
        <v>28</v>
      </c>
      <c r="N639" s="2">
        <v>12352</v>
      </c>
    </row>
    <row r="640" spans="1:14">
      <c r="A640" s="6" t="s">
        <v>268</v>
      </c>
      <c r="B640" s="6" t="s">
        <v>269</v>
      </c>
      <c r="C640" s="6"/>
      <c r="D640" s="6">
        <v>3604</v>
      </c>
      <c r="E640" s="6" t="s">
        <v>23</v>
      </c>
      <c r="F640" s="2" t="s">
        <v>24</v>
      </c>
      <c r="G640" s="2" t="s">
        <v>789</v>
      </c>
      <c r="H640" s="2" t="s">
        <v>26</v>
      </c>
      <c r="I640" s="2"/>
      <c r="J640" s="2">
        <v>1319590</v>
      </c>
      <c r="K640" s="2">
        <v>4404</v>
      </c>
      <c r="L640" s="2" t="s">
        <v>27</v>
      </c>
      <c r="M640" s="2" t="s">
        <v>28</v>
      </c>
      <c r="N640" s="2">
        <v>12353</v>
      </c>
    </row>
    <row r="641" spans="1:14">
      <c r="A641" s="7" t="s">
        <v>98</v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>
        <f>ROWS(A598:N640)</f>
        <v>43</v>
      </c>
    </row>
    <row r="642" spans="1:14">
      <c r="A642" s="7" t="s">
        <v>98</v>
      </c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>
        <f>ROWS(A598:N640)</f>
        <v>43</v>
      </c>
    </row>
    <row r="643" spans="1:14" customHeight="1" ht="20">
      <c r="A643" s="4" t="s">
        <v>790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customHeight="1" ht="20">
      <c r="A644" s="4" t="s">
        <v>100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>
      <c r="A645" s="5" t="s">
        <v>7</v>
      </c>
      <c r="B645" s="5" t="s">
        <v>8</v>
      </c>
      <c r="C645" s="5" t="s">
        <v>9</v>
      </c>
      <c r="D645" s="5" t="s">
        <v>10</v>
      </c>
      <c r="E645" s="5" t="s">
        <v>11</v>
      </c>
      <c r="F645" s="5" t="s">
        <v>12</v>
      </c>
      <c r="G645" s="5" t="s">
        <v>13</v>
      </c>
      <c r="H645" s="5" t="s">
        <v>14</v>
      </c>
      <c r="I645" s="5" t="s">
        <v>15</v>
      </c>
      <c r="J645" s="5" t="s">
        <v>16</v>
      </c>
      <c r="K645" s="5" t="s">
        <v>17</v>
      </c>
      <c r="L645" s="5" t="s">
        <v>18</v>
      </c>
      <c r="M645" s="5" t="s">
        <v>19</v>
      </c>
      <c r="N645" s="5" t="s">
        <v>20</v>
      </c>
    </row>
    <row r="646" spans="1:14">
      <c r="A646" s="6" t="s">
        <v>101</v>
      </c>
      <c r="B646" s="6" t="s">
        <v>102</v>
      </c>
      <c r="C646" s="6"/>
      <c r="D646" s="6">
        <v>917</v>
      </c>
      <c r="E646" s="6" t="s">
        <v>23</v>
      </c>
      <c r="F646" s="2" t="s">
        <v>24</v>
      </c>
      <c r="G646" s="2" t="s">
        <v>791</v>
      </c>
      <c r="H646" s="2" t="s">
        <v>26</v>
      </c>
      <c r="I646" s="2"/>
      <c r="J646" s="2">
        <v>1318526</v>
      </c>
      <c r="K646" s="2">
        <v>4398</v>
      </c>
      <c r="L646" s="2" t="s">
        <v>27</v>
      </c>
      <c r="M646" s="2" t="s">
        <v>28</v>
      </c>
      <c r="N646" s="2">
        <v>6618</v>
      </c>
    </row>
    <row r="647" spans="1:14">
      <c r="A647" s="6" t="s">
        <v>104</v>
      </c>
      <c r="B647" s="6" t="s">
        <v>105</v>
      </c>
      <c r="C647" s="6"/>
      <c r="D647" s="6">
        <v>917</v>
      </c>
      <c r="E647" s="6" t="s">
        <v>23</v>
      </c>
      <c r="F647" s="2" t="s">
        <v>24</v>
      </c>
      <c r="G647" s="2" t="s">
        <v>792</v>
      </c>
      <c r="H647" s="2" t="s">
        <v>26</v>
      </c>
      <c r="I647" s="2"/>
      <c r="J647" s="2">
        <v>1321956</v>
      </c>
      <c r="K647" s="2">
        <v>4398</v>
      </c>
      <c r="L647" s="2" t="s">
        <v>27</v>
      </c>
      <c r="M647" s="2" t="s">
        <v>28</v>
      </c>
      <c r="N647" s="2">
        <v>10491</v>
      </c>
    </row>
    <row r="648" spans="1:14">
      <c r="A648" s="6" t="s">
        <v>793</v>
      </c>
      <c r="B648" s="6" t="s">
        <v>794</v>
      </c>
      <c r="C648" s="6" t="s">
        <v>795</v>
      </c>
      <c r="D648" s="6">
        <v>917</v>
      </c>
      <c r="E648" s="6" t="s">
        <v>23</v>
      </c>
      <c r="F648" s="2" t="s">
        <v>24</v>
      </c>
      <c r="G648" s="2" t="s">
        <v>796</v>
      </c>
      <c r="H648" s="2" t="s">
        <v>26</v>
      </c>
      <c r="I648" s="2"/>
      <c r="J648" s="2">
        <v>1325965</v>
      </c>
      <c r="K648" s="2">
        <v>4398</v>
      </c>
      <c r="L648" s="2" t="s">
        <v>27</v>
      </c>
      <c r="M648" s="2" t="s">
        <v>28</v>
      </c>
      <c r="N648" s="2">
        <v>12482</v>
      </c>
    </row>
    <row r="649" spans="1:14">
      <c r="A649" s="6" t="s">
        <v>797</v>
      </c>
      <c r="B649" s="6" t="s">
        <v>798</v>
      </c>
      <c r="C649" s="6" t="s">
        <v>799</v>
      </c>
      <c r="D649" s="6">
        <v>917</v>
      </c>
      <c r="E649" s="6" t="s">
        <v>23</v>
      </c>
      <c r="F649" s="2" t="s">
        <v>24</v>
      </c>
      <c r="G649" s="2" t="s">
        <v>800</v>
      </c>
      <c r="H649" s="2" t="s">
        <v>26</v>
      </c>
      <c r="I649" s="2"/>
      <c r="J649" s="2">
        <v>1396531</v>
      </c>
      <c r="K649" s="2">
        <v>4398</v>
      </c>
      <c r="L649" s="2" t="s">
        <v>27</v>
      </c>
      <c r="M649" s="2" t="s">
        <v>28</v>
      </c>
      <c r="N649" s="2">
        <v>12487</v>
      </c>
    </row>
    <row r="650" spans="1:14">
      <c r="A650" s="6" t="s">
        <v>801</v>
      </c>
      <c r="B650" s="6" t="s">
        <v>802</v>
      </c>
      <c r="C650" s="6" t="s">
        <v>803</v>
      </c>
      <c r="D650" s="6">
        <v>917</v>
      </c>
      <c r="E650" s="6" t="s">
        <v>23</v>
      </c>
      <c r="F650" s="2" t="s">
        <v>24</v>
      </c>
      <c r="G650" s="2" t="s">
        <v>804</v>
      </c>
      <c r="H650" s="2" t="s">
        <v>26</v>
      </c>
      <c r="I650" s="2"/>
      <c r="J650" s="2">
        <v>1326387</v>
      </c>
      <c r="K650" s="2">
        <v>4398</v>
      </c>
      <c r="L650" s="2" t="s">
        <v>27</v>
      </c>
      <c r="M650" s="2" t="s">
        <v>28</v>
      </c>
      <c r="N650" s="2">
        <v>4907</v>
      </c>
    </row>
    <row r="651" spans="1:14">
      <c r="A651" s="7" t="s">
        <v>98</v>
      </c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>
        <f>ROWS(A646:N650)</f>
        <v>5</v>
      </c>
    </row>
    <row r="652" spans="1:14">
      <c r="A652" s="7" t="s">
        <v>98</v>
      </c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>
        <f>ROWS(A646:N650)</f>
        <v>5</v>
      </c>
    </row>
    <row r="653" spans="1:14" customHeight="1" ht="20">
      <c r="A653" s="4" t="s">
        <v>805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customHeight="1" ht="20">
      <c r="A654" s="4" t="s">
        <v>519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>
      <c r="A655" s="5" t="s">
        <v>7</v>
      </c>
      <c r="B655" s="5" t="s">
        <v>8</v>
      </c>
      <c r="C655" s="5" t="s">
        <v>9</v>
      </c>
      <c r="D655" s="5" t="s">
        <v>10</v>
      </c>
      <c r="E655" s="5" t="s">
        <v>11</v>
      </c>
      <c r="F655" s="5" t="s">
        <v>12</v>
      </c>
      <c r="G655" s="5" t="s">
        <v>13</v>
      </c>
      <c r="H655" s="5" t="s">
        <v>14</v>
      </c>
      <c r="I655" s="5" t="s">
        <v>15</v>
      </c>
      <c r="J655" s="5" t="s">
        <v>16</v>
      </c>
      <c r="K655" s="5" t="s">
        <v>17</v>
      </c>
      <c r="L655" s="5" t="s">
        <v>18</v>
      </c>
      <c r="M655" s="5" t="s">
        <v>19</v>
      </c>
      <c r="N655" s="5" t="s">
        <v>20</v>
      </c>
    </row>
    <row r="656" spans="1:14">
      <c r="A656" s="6" t="s">
        <v>520</v>
      </c>
      <c r="B656" s="6" t="s">
        <v>521</v>
      </c>
      <c r="C656" s="6"/>
      <c r="D656" s="6">
        <v>526</v>
      </c>
      <c r="E656" s="6" t="s">
        <v>23</v>
      </c>
      <c r="F656" s="2" t="s">
        <v>24</v>
      </c>
      <c r="G656" s="2" t="s">
        <v>806</v>
      </c>
      <c r="H656" s="2" t="s">
        <v>26</v>
      </c>
      <c r="I656" s="2"/>
      <c r="J656" s="2">
        <v>1317423</v>
      </c>
      <c r="K656" s="2">
        <v>4422</v>
      </c>
      <c r="L656" s="2" t="s">
        <v>27</v>
      </c>
      <c r="M656" s="2" t="s">
        <v>28</v>
      </c>
      <c r="N656" s="2">
        <v>12355</v>
      </c>
    </row>
    <row r="657" spans="1:14">
      <c r="A657" s="6" t="s">
        <v>523</v>
      </c>
      <c r="B657" s="6" t="s">
        <v>524</v>
      </c>
      <c r="C657" s="6"/>
      <c r="D657" s="6">
        <v>526</v>
      </c>
      <c r="E657" s="6" t="s">
        <v>23</v>
      </c>
      <c r="F657" s="2" t="s">
        <v>24</v>
      </c>
      <c r="G657" s="2" t="s">
        <v>807</v>
      </c>
      <c r="H657" s="2" t="s">
        <v>26</v>
      </c>
      <c r="I657" s="2"/>
      <c r="J657" s="2">
        <v>1319074</v>
      </c>
      <c r="K657" s="2">
        <v>4422</v>
      </c>
      <c r="L657" s="2" t="s">
        <v>27</v>
      </c>
      <c r="M657" s="2" t="s">
        <v>28</v>
      </c>
      <c r="N657" s="2">
        <v>12356</v>
      </c>
    </row>
    <row r="658" spans="1:14">
      <c r="A658" s="6" t="s">
        <v>526</v>
      </c>
      <c r="B658" s="6" t="s">
        <v>527</v>
      </c>
      <c r="C658" s="6"/>
      <c r="D658" s="6">
        <v>526</v>
      </c>
      <c r="E658" s="6" t="s">
        <v>23</v>
      </c>
      <c r="F658" s="2" t="s">
        <v>24</v>
      </c>
      <c r="G658" s="2" t="s">
        <v>808</v>
      </c>
      <c r="H658" s="2" t="s">
        <v>26</v>
      </c>
      <c r="I658" s="2"/>
      <c r="J658" s="2">
        <v>1317680</v>
      </c>
      <c r="K658" s="2">
        <v>4422</v>
      </c>
      <c r="L658" s="2" t="s">
        <v>27</v>
      </c>
      <c r="M658" s="2" t="s">
        <v>28</v>
      </c>
      <c r="N658" s="2">
        <v>12357</v>
      </c>
    </row>
    <row r="659" spans="1:14">
      <c r="A659" s="6" t="s">
        <v>529</v>
      </c>
      <c r="B659" s="6" t="s">
        <v>530</v>
      </c>
      <c r="C659" s="6"/>
      <c r="D659" s="6">
        <v>526</v>
      </c>
      <c r="E659" s="6" t="s">
        <v>23</v>
      </c>
      <c r="F659" s="2" t="s">
        <v>24</v>
      </c>
      <c r="G659" s="2" t="s">
        <v>809</v>
      </c>
      <c r="H659" s="2" t="s">
        <v>26</v>
      </c>
      <c r="I659" s="2"/>
      <c r="J659" s="2">
        <v>1317832</v>
      </c>
      <c r="K659" s="2">
        <v>4422</v>
      </c>
      <c r="L659" s="2" t="s">
        <v>27</v>
      </c>
      <c r="M659" s="2" t="s">
        <v>28</v>
      </c>
      <c r="N659" s="2">
        <v>12358</v>
      </c>
    </row>
    <row r="660" spans="1:14">
      <c r="A660" s="6" t="s">
        <v>532</v>
      </c>
      <c r="B660" s="6" t="s">
        <v>533</v>
      </c>
      <c r="C660" s="6"/>
      <c r="D660" s="6">
        <v>526</v>
      </c>
      <c r="E660" s="6" t="s">
        <v>23</v>
      </c>
      <c r="F660" s="2" t="s">
        <v>24</v>
      </c>
      <c r="G660" s="2" t="s">
        <v>810</v>
      </c>
      <c r="H660" s="2" t="s">
        <v>26</v>
      </c>
      <c r="I660" s="2"/>
      <c r="J660" s="2">
        <v>1318099</v>
      </c>
      <c r="K660" s="2">
        <v>4422</v>
      </c>
      <c r="L660" s="2" t="s">
        <v>27</v>
      </c>
      <c r="M660" s="2" t="s">
        <v>28</v>
      </c>
      <c r="N660" s="2">
        <v>12359</v>
      </c>
    </row>
    <row r="661" spans="1:14">
      <c r="A661" s="6" t="s">
        <v>535</v>
      </c>
      <c r="B661" s="6" t="s">
        <v>536</v>
      </c>
      <c r="C661" s="6"/>
      <c r="D661" s="6">
        <v>526</v>
      </c>
      <c r="E661" s="6" t="s">
        <v>23</v>
      </c>
      <c r="F661" s="2" t="s">
        <v>24</v>
      </c>
      <c r="G661" s="2" t="s">
        <v>811</v>
      </c>
      <c r="H661" s="2" t="s">
        <v>26</v>
      </c>
      <c r="I661" s="2"/>
      <c r="J661" s="2">
        <v>1319533</v>
      </c>
      <c r="K661" s="2">
        <v>4422</v>
      </c>
      <c r="L661" s="2" t="s">
        <v>27</v>
      </c>
      <c r="M661" s="2" t="s">
        <v>28</v>
      </c>
      <c r="N661" s="2">
        <v>12361</v>
      </c>
    </row>
    <row r="662" spans="1:14">
      <c r="A662" s="6" t="s">
        <v>538</v>
      </c>
      <c r="B662" s="6" t="s">
        <v>539</v>
      </c>
      <c r="C662" s="6"/>
      <c r="D662" s="6">
        <v>526</v>
      </c>
      <c r="E662" s="6" t="s">
        <v>23</v>
      </c>
      <c r="F662" s="2" t="s">
        <v>24</v>
      </c>
      <c r="G662" s="2" t="s">
        <v>812</v>
      </c>
      <c r="H662" s="2" t="s">
        <v>26</v>
      </c>
      <c r="I662" s="2"/>
      <c r="J662" s="2">
        <v>1318197</v>
      </c>
      <c r="K662" s="2">
        <v>4422</v>
      </c>
      <c r="L662" s="2" t="s">
        <v>27</v>
      </c>
      <c r="M662" s="2" t="s">
        <v>28</v>
      </c>
      <c r="N662" s="2">
        <v>12362</v>
      </c>
    </row>
    <row r="663" spans="1:14">
      <c r="A663" s="6" t="s">
        <v>541</v>
      </c>
      <c r="B663" s="6" t="s">
        <v>542</v>
      </c>
      <c r="C663" s="6"/>
      <c r="D663" s="6">
        <v>526</v>
      </c>
      <c r="E663" s="6" t="s">
        <v>23</v>
      </c>
      <c r="F663" s="2" t="s">
        <v>24</v>
      </c>
      <c r="G663" s="2" t="s">
        <v>813</v>
      </c>
      <c r="H663" s="2" t="s">
        <v>26</v>
      </c>
      <c r="I663" s="2"/>
      <c r="J663" s="2">
        <v>1319395</v>
      </c>
      <c r="K663" s="2">
        <v>4422</v>
      </c>
      <c r="L663" s="2" t="s">
        <v>27</v>
      </c>
      <c r="M663" s="2" t="s">
        <v>28</v>
      </c>
      <c r="N663" s="2">
        <v>12364</v>
      </c>
    </row>
    <row r="664" spans="1:14">
      <c r="A664" s="6" t="s">
        <v>544</v>
      </c>
      <c r="B664" s="6" t="s">
        <v>545</v>
      </c>
      <c r="C664" s="6"/>
      <c r="D664" s="6">
        <v>526</v>
      </c>
      <c r="E664" s="6" t="s">
        <v>23</v>
      </c>
      <c r="F664" s="2" t="s">
        <v>24</v>
      </c>
      <c r="G664" s="2" t="s">
        <v>814</v>
      </c>
      <c r="H664" s="2" t="s">
        <v>26</v>
      </c>
      <c r="I664" s="2"/>
      <c r="J664" s="2">
        <v>1320267</v>
      </c>
      <c r="K664" s="2">
        <v>4422</v>
      </c>
      <c r="L664" s="2" t="s">
        <v>27</v>
      </c>
      <c r="M664" s="2" t="s">
        <v>28</v>
      </c>
      <c r="N664" s="2">
        <v>1274</v>
      </c>
    </row>
    <row r="665" spans="1:14">
      <c r="A665" s="7" t="s">
        <v>98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>
        <f>ROWS(A656:N664)</f>
        <v>9</v>
      </c>
    </row>
    <row r="666" spans="1:14">
      <c r="A666" s="7" t="s">
        <v>98</v>
      </c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>
        <f>ROWS(A656:N664)</f>
        <v>9</v>
      </c>
    </row>
    <row r="667" spans="1:14" customHeight="1" ht="20">
      <c r="A667" s="4" t="s">
        <v>815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customHeight="1" ht="20">
      <c r="A668" s="4" t="s">
        <v>272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>
      <c r="A669" s="5" t="s">
        <v>7</v>
      </c>
      <c r="B669" s="5" t="s">
        <v>8</v>
      </c>
      <c r="C669" s="5" t="s">
        <v>9</v>
      </c>
      <c r="D669" s="5" t="s">
        <v>10</v>
      </c>
      <c r="E669" s="5" t="s">
        <v>11</v>
      </c>
      <c r="F669" s="5" t="s">
        <v>12</v>
      </c>
      <c r="G669" s="5" t="s">
        <v>13</v>
      </c>
      <c r="H669" s="5" t="s">
        <v>14</v>
      </c>
      <c r="I669" s="5" t="s">
        <v>15</v>
      </c>
      <c r="J669" s="5" t="s">
        <v>16</v>
      </c>
      <c r="K669" s="5" t="s">
        <v>17</v>
      </c>
      <c r="L669" s="5" t="s">
        <v>18</v>
      </c>
      <c r="M669" s="5" t="s">
        <v>19</v>
      </c>
      <c r="N669" s="5" t="s">
        <v>20</v>
      </c>
    </row>
    <row r="670" spans="1:14">
      <c r="A670" s="6" t="s">
        <v>273</v>
      </c>
      <c r="B670" s="6" t="s">
        <v>274</v>
      </c>
      <c r="C670" s="6"/>
      <c r="D670" s="6">
        <v>3520</v>
      </c>
      <c r="E670" s="6" t="s">
        <v>23</v>
      </c>
      <c r="F670" s="2" t="s">
        <v>24</v>
      </c>
      <c r="G670" s="2" t="s">
        <v>816</v>
      </c>
      <c r="H670" s="2" t="s">
        <v>26</v>
      </c>
      <c r="I670" s="2"/>
      <c r="J670" s="2">
        <v>1317608</v>
      </c>
      <c r="K670" s="2">
        <v>4417</v>
      </c>
      <c r="L670" s="2" t="s">
        <v>27</v>
      </c>
      <c r="M670" s="2" t="s">
        <v>28</v>
      </c>
      <c r="N670" s="2">
        <v>2666</v>
      </c>
    </row>
    <row r="671" spans="1:14">
      <c r="A671" s="6" t="s">
        <v>276</v>
      </c>
      <c r="B671" s="6" t="s">
        <v>277</v>
      </c>
      <c r="C671" s="6"/>
      <c r="D671" s="6">
        <v>3520</v>
      </c>
      <c r="E671" s="6" t="s">
        <v>23</v>
      </c>
      <c r="F671" s="2" t="s">
        <v>24</v>
      </c>
      <c r="G671" s="2" t="s">
        <v>817</v>
      </c>
      <c r="H671" s="2" t="s">
        <v>26</v>
      </c>
      <c r="I671" s="2"/>
      <c r="J671" s="2">
        <v>1317579</v>
      </c>
      <c r="K671" s="2">
        <v>4417</v>
      </c>
      <c r="L671" s="2" t="s">
        <v>27</v>
      </c>
      <c r="M671" s="2" t="s">
        <v>28</v>
      </c>
      <c r="N671" s="2">
        <v>10427</v>
      </c>
    </row>
    <row r="672" spans="1:14">
      <c r="A672" s="6" t="s">
        <v>279</v>
      </c>
      <c r="B672" s="6" t="s">
        <v>280</v>
      </c>
      <c r="C672" s="6"/>
      <c r="D672" s="6">
        <v>3520</v>
      </c>
      <c r="E672" s="6" t="s">
        <v>23</v>
      </c>
      <c r="F672" s="2" t="s">
        <v>24</v>
      </c>
      <c r="G672" s="2" t="s">
        <v>818</v>
      </c>
      <c r="H672" s="2" t="s">
        <v>26</v>
      </c>
      <c r="I672" s="2"/>
      <c r="J672" s="2">
        <v>1318637</v>
      </c>
      <c r="K672" s="2">
        <v>4417</v>
      </c>
      <c r="L672" s="2" t="s">
        <v>27</v>
      </c>
      <c r="M672" s="2" t="s">
        <v>28</v>
      </c>
      <c r="N672" s="2">
        <v>10428</v>
      </c>
    </row>
    <row r="673" spans="1:14">
      <c r="A673" s="6" t="s">
        <v>282</v>
      </c>
      <c r="B673" s="6" t="s">
        <v>283</v>
      </c>
      <c r="C673" s="6"/>
      <c r="D673" s="6">
        <v>3520</v>
      </c>
      <c r="E673" s="6" t="s">
        <v>23</v>
      </c>
      <c r="F673" s="2" t="s">
        <v>24</v>
      </c>
      <c r="G673" s="2" t="s">
        <v>819</v>
      </c>
      <c r="H673" s="2" t="s">
        <v>26</v>
      </c>
      <c r="I673" s="2"/>
      <c r="J673" s="2">
        <v>1323107</v>
      </c>
      <c r="K673" s="2">
        <v>4417</v>
      </c>
      <c r="L673" s="2" t="s">
        <v>27</v>
      </c>
      <c r="M673" s="2" t="s">
        <v>28</v>
      </c>
      <c r="N673" s="2">
        <v>10499</v>
      </c>
    </row>
    <row r="674" spans="1:14">
      <c r="A674" s="6" t="s">
        <v>285</v>
      </c>
      <c r="B674" s="6" t="s">
        <v>286</v>
      </c>
      <c r="C674" s="6"/>
      <c r="D674" s="6">
        <v>3520</v>
      </c>
      <c r="E674" s="6" t="s">
        <v>23</v>
      </c>
      <c r="F674" s="2" t="s">
        <v>24</v>
      </c>
      <c r="G674" s="2" t="s">
        <v>820</v>
      </c>
      <c r="H674" s="2" t="s">
        <v>26</v>
      </c>
      <c r="I674" s="2"/>
      <c r="J674" s="2">
        <v>1318963</v>
      </c>
      <c r="K674" s="2">
        <v>4417</v>
      </c>
      <c r="L674" s="2" t="s">
        <v>27</v>
      </c>
      <c r="M674" s="2" t="s">
        <v>28</v>
      </c>
      <c r="N674" s="2">
        <v>10429</v>
      </c>
    </row>
    <row r="675" spans="1:14">
      <c r="A675" s="6" t="s">
        <v>288</v>
      </c>
      <c r="B675" s="6" t="s">
        <v>289</v>
      </c>
      <c r="C675" s="6"/>
      <c r="D675" s="6">
        <v>3520</v>
      </c>
      <c r="E675" s="6" t="s">
        <v>23</v>
      </c>
      <c r="F675" s="2" t="s">
        <v>24</v>
      </c>
      <c r="G675" s="2" t="s">
        <v>821</v>
      </c>
      <c r="H675" s="2" t="s">
        <v>26</v>
      </c>
      <c r="I675" s="2"/>
      <c r="J675" s="2">
        <v>1322207</v>
      </c>
      <c r="K675" s="2">
        <v>4417</v>
      </c>
      <c r="L675" s="2" t="s">
        <v>27</v>
      </c>
      <c r="M675" s="2" t="s">
        <v>28</v>
      </c>
      <c r="N675" s="2">
        <v>10430</v>
      </c>
    </row>
    <row r="676" spans="1:14">
      <c r="A676" s="6" t="s">
        <v>291</v>
      </c>
      <c r="B676" s="6" t="s">
        <v>292</v>
      </c>
      <c r="C676" s="6"/>
      <c r="D676" s="6">
        <v>3520</v>
      </c>
      <c r="E676" s="6" t="s">
        <v>23</v>
      </c>
      <c r="F676" s="2" t="s">
        <v>24</v>
      </c>
      <c r="G676" s="2" t="s">
        <v>822</v>
      </c>
      <c r="H676" s="2" t="s">
        <v>26</v>
      </c>
      <c r="I676" s="2"/>
      <c r="J676" s="2">
        <v>1318217</v>
      </c>
      <c r="K676" s="2">
        <v>4417</v>
      </c>
      <c r="L676" s="2" t="s">
        <v>27</v>
      </c>
      <c r="M676" s="2" t="s">
        <v>28</v>
      </c>
      <c r="N676" s="2">
        <v>10431</v>
      </c>
    </row>
    <row r="677" spans="1:14">
      <c r="A677" s="6" t="s">
        <v>294</v>
      </c>
      <c r="B677" s="6" t="s">
        <v>295</v>
      </c>
      <c r="C677" s="6"/>
      <c r="D677" s="6">
        <v>3520</v>
      </c>
      <c r="E677" s="6" t="s">
        <v>23</v>
      </c>
      <c r="F677" s="2" t="s">
        <v>24</v>
      </c>
      <c r="G677" s="2" t="s">
        <v>823</v>
      </c>
      <c r="H677" s="2" t="s">
        <v>26</v>
      </c>
      <c r="I677" s="2"/>
      <c r="J677" s="2">
        <v>1318913</v>
      </c>
      <c r="K677" s="2">
        <v>4417</v>
      </c>
      <c r="L677" s="2" t="s">
        <v>27</v>
      </c>
      <c r="M677" s="2" t="s">
        <v>28</v>
      </c>
      <c r="N677" s="2">
        <v>10432</v>
      </c>
    </row>
    <row r="678" spans="1:14">
      <c r="A678" s="6" t="s">
        <v>297</v>
      </c>
      <c r="B678" s="6" t="s">
        <v>298</v>
      </c>
      <c r="C678" s="6"/>
      <c r="D678" s="6">
        <v>3520</v>
      </c>
      <c r="E678" s="6" t="s">
        <v>23</v>
      </c>
      <c r="F678" s="2" t="s">
        <v>24</v>
      </c>
      <c r="G678" s="2" t="s">
        <v>824</v>
      </c>
      <c r="H678" s="2" t="s">
        <v>26</v>
      </c>
      <c r="I678" s="2"/>
      <c r="J678" s="2">
        <v>1317718</v>
      </c>
      <c r="K678" s="2">
        <v>4417</v>
      </c>
      <c r="L678" s="2" t="s">
        <v>27</v>
      </c>
      <c r="M678" s="2" t="s">
        <v>28</v>
      </c>
      <c r="N678" s="2">
        <v>10434</v>
      </c>
    </row>
    <row r="679" spans="1:14">
      <c r="A679" s="6" t="s">
        <v>300</v>
      </c>
      <c r="B679" s="6" t="s">
        <v>301</v>
      </c>
      <c r="C679" s="6"/>
      <c r="D679" s="6">
        <v>3520</v>
      </c>
      <c r="E679" s="6" t="s">
        <v>23</v>
      </c>
      <c r="F679" s="2" t="s">
        <v>24</v>
      </c>
      <c r="G679" s="2" t="s">
        <v>825</v>
      </c>
      <c r="H679" s="2" t="s">
        <v>26</v>
      </c>
      <c r="I679" s="2"/>
      <c r="J679" s="2">
        <v>1317873</v>
      </c>
      <c r="K679" s="2">
        <v>4417</v>
      </c>
      <c r="L679" s="2" t="s">
        <v>27</v>
      </c>
      <c r="M679" s="2" t="s">
        <v>28</v>
      </c>
      <c r="N679" s="2">
        <v>10435</v>
      </c>
    </row>
    <row r="680" spans="1:14">
      <c r="A680" s="6" t="s">
        <v>303</v>
      </c>
      <c r="B680" s="6" t="s">
        <v>304</v>
      </c>
      <c r="C680" s="6"/>
      <c r="D680" s="6">
        <v>3520</v>
      </c>
      <c r="E680" s="6" t="s">
        <v>23</v>
      </c>
      <c r="F680" s="2" t="s">
        <v>24</v>
      </c>
      <c r="G680" s="2" t="s">
        <v>826</v>
      </c>
      <c r="H680" s="2" t="s">
        <v>26</v>
      </c>
      <c r="I680" s="2"/>
      <c r="J680" s="2">
        <v>1318655</v>
      </c>
      <c r="K680" s="2">
        <v>4417</v>
      </c>
      <c r="L680" s="2" t="s">
        <v>27</v>
      </c>
      <c r="M680" s="2" t="s">
        <v>28</v>
      </c>
      <c r="N680" s="2">
        <v>10436</v>
      </c>
    </row>
    <row r="681" spans="1:14">
      <c r="A681" s="6" t="s">
        <v>306</v>
      </c>
      <c r="B681" s="6" t="s">
        <v>307</v>
      </c>
      <c r="C681" s="6"/>
      <c r="D681" s="6">
        <v>3520</v>
      </c>
      <c r="E681" s="6" t="s">
        <v>23</v>
      </c>
      <c r="F681" s="2" t="s">
        <v>24</v>
      </c>
      <c r="G681" s="2" t="s">
        <v>827</v>
      </c>
      <c r="H681" s="2" t="s">
        <v>26</v>
      </c>
      <c r="I681" s="2"/>
      <c r="J681" s="2">
        <v>1318168</v>
      </c>
      <c r="K681" s="2">
        <v>4417</v>
      </c>
      <c r="L681" s="2" t="s">
        <v>27</v>
      </c>
      <c r="M681" s="2" t="s">
        <v>28</v>
      </c>
      <c r="N681" s="2">
        <v>10437</v>
      </c>
    </row>
    <row r="682" spans="1:14">
      <c r="A682" s="6" t="s">
        <v>309</v>
      </c>
      <c r="B682" s="6" t="s">
        <v>310</v>
      </c>
      <c r="C682" s="6"/>
      <c r="D682" s="6">
        <v>3520</v>
      </c>
      <c r="E682" s="6" t="s">
        <v>23</v>
      </c>
      <c r="F682" s="2" t="s">
        <v>24</v>
      </c>
      <c r="G682" s="2" t="s">
        <v>828</v>
      </c>
      <c r="H682" s="2" t="s">
        <v>26</v>
      </c>
      <c r="I682" s="2"/>
      <c r="J682" s="2">
        <v>1319078</v>
      </c>
      <c r="K682" s="2">
        <v>4417</v>
      </c>
      <c r="L682" s="2" t="s">
        <v>27</v>
      </c>
      <c r="M682" s="2" t="s">
        <v>28</v>
      </c>
      <c r="N682" s="2">
        <v>10438</v>
      </c>
    </row>
    <row r="683" spans="1:14">
      <c r="A683" s="7" t="s">
        <v>98</v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>
        <f>ROWS(A670:N682)</f>
        <v>13</v>
      </c>
    </row>
    <row r="684" spans="1:14">
      <c r="A684" s="7" t="s">
        <v>98</v>
      </c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>
        <f>ROWS(A670:N682)</f>
        <v>13</v>
      </c>
    </row>
    <row r="685" spans="1:14" customHeight="1" ht="20">
      <c r="A685" s="4" t="s">
        <v>829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customHeight="1" ht="20">
      <c r="A686" s="4" t="s">
        <v>471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>
      <c r="A687" s="5" t="s">
        <v>7</v>
      </c>
      <c r="B687" s="5" t="s">
        <v>8</v>
      </c>
      <c r="C687" s="5" t="s">
        <v>9</v>
      </c>
      <c r="D687" s="5" t="s">
        <v>10</v>
      </c>
      <c r="E687" s="5" t="s">
        <v>11</v>
      </c>
      <c r="F687" s="5" t="s">
        <v>12</v>
      </c>
      <c r="G687" s="5" t="s">
        <v>13</v>
      </c>
      <c r="H687" s="5" t="s">
        <v>14</v>
      </c>
      <c r="I687" s="5" t="s">
        <v>15</v>
      </c>
      <c r="J687" s="5" t="s">
        <v>16</v>
      </c>
      <c r="K687" s="5" t="s">
        <v>17</v>
      </c>
      <c r="L687" s="5" t="s">
        <v>18</v>
      </c>
      <c r="M687" s="5" t="s">
        <v>19</v>
      </c>
      <c r="N687" s="5" t="s">
        <v>20</v>
      </c>
    </row>
    <row r="688" spans="1:14">
      <c r="A688" s="6" t="s">
        <v>472</v>
      </c>
      <c r="B688" s="6" t="s">
        <v>473</v>
      </c>
      <c r="C688" s="6"/>
      <c r="D688" s="6">
        <v>3720</v>
      </c>
      <c r="E688" s="6" t="s">
        <v>23</v>
      </c>
      <c r="F688" s="2" t="s">
        <v>24</v>
      </c>
      <c r="G688" s="2" t="s">
        <v>830</v>
      </c>
      <c r="H688" s="2" t="s">
        <v>26</v>
      </c>
      <c r="I688" s="2"/>
      <c r="J688" s="2">
        <v>1323563</v>
      </c>
      <c r="K688" s="2">
        <v>4432</v>
      </c>
      <c r="L688" s="2" t="s">
        <v>27</v>
      </c>
      <c r="M688" s="2" t="s">
        <v>28</v>
      </c>
      <c r="N688" s="2">
        <v>10461</v>
      </c>
    </row>
    <row r="689" spans="1:14">
      <c r="A689" s="6" t="s">
        <v>831</v>
      </c>
      <c r="B689" s="6" t="s">
        <v>832</v>
      </c>
      <c r="C689" s="6"/>
      <c r="D689" s="6">
        <v>3720</v>
      </c>
      <c r="E689" s="6" t="s">
        <v>23</v>
      </c>
      <c r="F689" s="2" t="s">
        <v>24</v>
      </c>
      <c r="G689" s="2" t="s">
        <v>833</v>
      </c>
      <c r="H689" s="2" t="s">
        <v>26</v>
      </c>
      <c r="I689" s="2"/>
      <c r="J689" s="2">
        <v>1323564</v>
      </c>
      <c r="K689" s="2">
        <v>4432</v>
      </c>
      <c r="L689" s="2" t="s">
        <v>27</v>
      </c>
      <c r="M689" s="2" t="s">
        <v>28</v>
      </c>
      <c r="N689" s="2">
        <v>10443</v>
      </c>
    </row>
    <row r="690" spans="1:14">
      <c r="A690" s="6" t="s">
        <v>834</v>
      </c>
      <c r="B690" s="6" t="s">
        <v>835</v>
      </c>
      <c r="C690" s="6"/>
      <c r="D690" s="6">
        <v>3720</v>
      </c>
      <c r="E690" s="6" t="s">
        <v>23</v>
      </c>
      <c r="F690" s="2" t="s">
        <v>24</v>
      </c>
      <c r="G690" s="2" t="s">
        <v>836</v>
      </c>
      <c r="H690" s="2" t="s">
        <v>26</v>
      </c>
      <c r="I690" s="2"/>
      <c r="J690" s="2">
        <v>1323565</v>
      </c>
      <c r="K690" s="2">
        <v>4432</v>
      </c>
      <c r="L690" s="2" t="s">
        <v>27</v>
      </c>
      <c r="M690" s="2" t="s">
        <v>28</v>
      </c>
      <c r="N690" s="2">
        <v>10462</v>
      </c>
    </row>
    <row r="691" spans="1:14">
      <c r="A691" s="6" t="s">
        <v>837</v>
      </c>
      <c r="B691" s="6" t="s">
        <v>838</v>
      </c>
      <c r="C691" s="6"/>
      <c r="D691" s="6">
        <v>3720</v>
      </c>
      <c r="E691" s="6" t="s">
        <v>23</v>
      </c>
      <c r="F691" s="2" t="s">
        <v>24</v>
      </c>
      <c r="G691" s="2" t="s">
        <v>839</v>
      </c>
      <c r="H691" s="2" t="s">
        <v>26</v>
      </c>
      <c r="I691" s="2"/>
      <c r="J691" s="2">
        <v>1323566</v>
      </c>
      <c r="K691" s="2">
        <v>4432</v>
      </c>
      <c r="L691" s="2" t="s">
        <v>27</v>
      </c>
      <c r="M691" s="2" t="s">
        <v>28</v>
      </c>
      <c r="N691" s="2">
        <v>10489</v>
      </c>
    </row>
    <row r="692" spans="1:14">
      <c r="A692" s="6" t="s">
        <v>840</v>
      </c>
      <c r="B692" s="6" t="s">
        <v>841</v>
      </c>
      <c r="C692" s="6"/>
      <c r="D692" s="6">
        <v>3720</v>
      </c>
      <c r="E692" s="6" t="s">
        <v>23</v>
      </c>
      <c r="F692" s="2" t="s">
        <v>24</v>
      </c>
      <c r="G692" s="2" t="s">
        <v>842</v>
      </c>
      <c r="H692" s="2" t="s">
        <v>26</v>
      </c>
      <c r="I692" s="2"/>
      <c r="J692" s="2">
        <v>1323567</v>
      </c>
      <c r="K692" s="2">
        <v>4432</v>
      </c>
      <c r="L692" s="2" t="s">
        <v>27</v>
      </c>
      <c r="M692" s="2" t="s">
        <v>28</v>
      </c>
      <c r="N692" s="2">
        <v>10463</v>
      </c>
    </row>
    <row r="693" spans="1:14">
      <c r="A693" s="6" t="s">
        <v>843</v>
      </c>
      <c r="B693" s="6" t="s">
        <v>844</v>
      </c>
      <c r="C693" s="6"/>
      <c r="D693" s="6">
        <v>3720</v>
      </c>
      <c r="E693" s="6" t="s">
        <v>23</v>
      </c>
      <c r="F693" s="2" t="s">
        <v>24</v>
      </c>
      <c r="G693" s="2" t="s">
        <v>845</v>
      </c>
      <c r="H693" s="2" t="s">
        <v>26</v>
      </c>
      <c r="I693" s="2"/>
      <c r="J693" s="2">
        <v>1323568</v>
      </c>
      <c r="K693" s="2">
        <v>4432</v>
      </c>
      <c r="L693" s="2" t="s">
        <v>27</v>
      </c>
      <c r="M693" s="2" t="s">
        <v>28</v>
      </c>
      <c r="N693" s="2">
        <v>10464</v>
      </c>
    </row>
    <row r="694" spans="1:14">
      <c r="A694" s="6" t="s">
        <v>846</v>
      </c>
      <c r="B694" s="6" t="s">
        <v>847</v>
      </c>
      <c r="C694" s="6"/>
      <c r="D694" s="6">
        <v>3720</v>
      </c>
      <c r="E694" s="6" t="s">
        <v>23</v>
      </c>
      <c r="F694" s="2" t="s">
        <v>24</v>
      </c>
      <c r="G694" s="2" t="s">
        <v>848</v>
      </c>
      <c r="H694" s="2" t="s">
        <v>26</v>
      </c>
      <c r="I694" s="2"/>
      <c r="J694" s="2">
        <v>1323569</v>
      </c>
      <c r="K694" s="2">
        <v>4432</v>
      </c>
      <c r="L694" s="2" t="s">
        <v>27</v>
      </c>
      <c r="M694" s="2" t="s">
        <v>28</v>
      </c>
      <c r="N694" s="2">
        <v>10465</v>
      </c>
    </row>
    <row r="695" spans="1:14">
      <c r="A695" s="6" t="s">
        <v>849</v>
      </c>
      <c r="B695" s="6" t="s">
        <v>850</v>
      </c>
      <c r="C695" s="6"/>
      <c r="D695" s="6">
        <v>3720</v>
      </c>
      <c r="E695" s="6" t="s">
        <v>23</v>
      </c>
      <c r="F695" s="2" t="s">
        <v>24</v>
      </c>
      <c r="G695" s="2" t="s">
        <v>851</v>
      </c>
      <c r="H695" s="2" t="s">
        <v>26</v>
      </c>
      <c r="I695" s="2"/>
      <c r="J695" s="2">
        <v>1323570</v>
      </c>
      <c r="K695" s="2">
        <v>4432</v>
      </c>
      <c r="L695" s="2" t="s">
        <v>27</v>
      </c>
      <c r="M695" s="2" t="s">
        <v>28</v>
      </c>
      <c r="N695" s="2">
        <v>10466</v>
      </c>
    </row>
    <row r="696" spans="1:14">
      <c r="A696" s="6" t="s">
        <v>694</v>
      </c>
      <c r="B696" s="6" t="s">
        <v>695</v>
      </c>
      <c r="C696" s="6"/>
      <c r="D696" s="6">
        <v>3720</v>
      </c>
      <c r="E696" s="6" t="s">
        <v>23</v>
      </c>
      <c r="F696" s="2" t="s">
        <v>24</v>
      </c>
      <c r="G696" s="2" t="s">
        <v>852</v>
      </c>
      <c r="H696" s="2" t="s">
        <v>26</v>
      </c>
      <c r="I696" s="2"/>
      <c r="J696" s="2">
        <v>1323571</v>
      </c>
      <c r="K696" s="2">
        <v>4432</v>
      </c>
      <c r="L696" s="2" t="s">
        <v>27</v>
      </c>
      <c r="M696" s="2" t="s">
        <v>28</v>
      </c>
      <c r="N696" s="2">
        <v>12368</v>
      </c>
    </row>
    <row r="697" spans="1:14">
      <c r="A697" s="6" t="s">
        <v>853</v>
      </c>
      <c r="B697" s="6" t="s">
        <v>854</v>
      </c>
      <c r="C697" s="6"/>
      <c r="D697" s="6">
        <v>3720</v>
      </c>
      <c r="E697" s="6" t="s">
        <v>23</v>
      </c>
      <c r="F697" s="2" t="s">
        <v>24</v>
      </c>
      <c r="G697" s="2" t="s">
        <v>855</v>
      </c>
      <c r="H697" s="2" t="s">
        <v>26</v>
      </c>
      <c r="I697" s="2"/>
      <c r="J697" s="2">
        <v>1323572</v>
      </c>
      <c r="K697" s="2">
        <v>4432</v>
      </c>
      <c r="L697" s="2" t="s">
        <v>27</v>
      </c>
      <c r="M697" s="2" t="s">
        <v>28</v>
      </c>
      <c r="N697" s="2">
        <v>10468</v>
      </c>
    </row>
    <row r="698" spans="1:14">
      <c r="A698" s="6" t="s">
        <v>856</v>
      </c>
      <c r="B698" s="6" t="s">
        <v>857</v>
      </c>
      <c r="C698" s="6"/>
      <c r="D698" s="6">
        <v>3720</v>
      </c>
      <c r="E698" s="6" t="s">
        <v>23</v>
      </c>
      <c r="F698" s="2" t="s">
        <v>24</v>
      </c>
      <c r="G698" s="2" t="s">
        <v>858</v>
      </c>
      <c r="H698" s="2" t="s">
        <v>26</v>
      </c>
      <c r="I698" s="2"/>
      <c r="J698" s="2">
        <v>1323573</v>
      </c>
      <c r="K698" s="2">
        <v>4432</v>
      </c>
      <c r="L698" s="2" t="s">
        <v>27</v>
      </c>
      <c r="M698" s="2" t="s">
        <v>28</v>
      </c>
      <c r="N698" s="2">
        <v>10469</v>
      </c>
    </row>
    <row r="699" spans="1:14">
      <c r="A699" s="6" t="s">
        <v>702</v>
      </c>
      <c r="B699" s="6" t="s">
        <v>703</v>
      </c>
      <c r="C699" s="6"/>
      <c r="D699" s="6">
        <v>3720</v>
      </c>
      <c r="E699" s="6" t="s">
        <v>23</v>
      </c>
      <c r="F699" s="2" t="s">
        <v>24</v>
      </c>
      <c r="G699" s="2" t="s">
        <v>859</v>
      </c>
      <c r="H699" s="2" t="s">
        <v>26</v>
      </c>
      <c r="I699" s="2"/>
      <c r="J699" s="2">
        <v>1323574</v>
      </c>
      <c r="K699" s="2">
        <v>4432</v>
      </c>
      <c r="L699" s="2" t="s">
        <v>27</v>
      </c>
      <c r="M699" s="2" t="s">
        <v>28</v>
      </c>
      <c r="N699" s="2">
        <v>12369</v>
      </c>
    </row>
    <row r="700" spans="1:14">
      <c r="A700" s="7" t="s">
        <v>98</v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>
        <f>ROWS(A688:N699)</f>
        <v>12</v>
      </c>
    </row>
    <row r="701" spans="1:14">
      <c r="A701" s="7" t="s">
        <v>98</v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>
        <f>ROWS(A688:N699)</f>
        <v>12</v>
      </c>
    </row>
    <row r="702" spans="1:14" customHeight="1" ht="20">
      <c r="A702" s="4" t="s">
        <v>860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customHeight="1" ht="20">
      <c r="A703" s="4" t="s">
        <v>6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>
      <c r="A704" s="5" t="s">
        <v>7</v>
      </c>
      <c r="B704" s="5" t="s">
        <v>8</v>
      </c>
      <c r="C704" s="5" t="s">
        <v>9</v>
      </c>
      <c r="D704" s="5" t="s">
        <v>10</v>
      </c>
      <c r="E704" s="5" t="s">
        <v>11</v>
      </c>
      <c r="F704" s="5" t="s">
        <v>12</v>
      </c>
      <c r="G704" s="5" t="s">
        <v>13</v>
      </c>
      <c r="H704" s="5" t="s">
        <v>14</v>
      </c>
      <c r="I704" s="5" t="s">
        <v>15</v>
      </c>
      <c r="J704" s="5" t="s">
        <v>16</v>
      </c>
      <c r="K704" s="5" t="s">
        <v>17</v>
      </c>
      <c r="L704" s="5" t="s">
        <v>18</v>
      </c>
      <c r="M704" s="5" t="s">
        <v>19</v>
      </c>
      <c r="N704" s="5" t="s">
        <v>20</v>
      </c>
    </row>
    <row r="705" spans="1:14">
      <c r="A705" s="6" t="s">
        <v>138</v>
      </c>
      <c r="B705" s="6" t="s">
        <v>139</v>
      </c>
      <c r="C705" s="6"/>
      <c r="D705" s="6">
        <v>3612</v>
      </c>
      <c r="E705" s="6" t="s">
        <v>23</v>
      </c>
      <c r="F705" s="2" t="s">
        <v>24</v>
      </c>
      <c r="G705" s="2" t="s">
        <v>861</v>
      </c>
      <c r="H705" s="2" t="s">
        <v>26</v>
      </c>
      <c r="I705" s="2"/>
      <c r="J705" s="2">
        <v>1317686</v>
      </c>
      <c r="K705" s="2">
        <v>4411</v>
      </c>
      <c r="L705" s="2" t="s">
        <v>27</v>
      </c>
      <c r="M705" s="2" t="s">
        <v>28</v>
      </c>
      <c r="N705" s="2">
        <v>1234</v>
      </c>
    </row>
    <row r="706" spans="1:14">
      <c r="A706" s="6" t="s">
        <v>21</v>
      </c>
      <c r="B706" s="6" t="s">
        <v>22</v>
      </c>
      <c r="C706" s="6"/>
      <c r="D706" s="6">
        <v>3612</v>
      </c>
      <c r="E706" s="6" t="s">
        <v>23</v>
      </c>
      <c r="F706" s="2" t="s">
        <v>24</v>
      </c>
      <c r="G706" s="2" t="s">
        <v>862</v>
      </c>
      <c r="H706" s="2" t="s">
        <v>26</v>
      </c>
      <c r="I706" s="2"/>
      <c r="J706" s="2">
        <v>1319613</v>
      </c>
      <c r="K706" s="2">
        <v>4411</v>
      </c>
      <c r="L706" s="2" t="s">
        <v>27</v>
      </c>
      <c r="M706" s="2" t="s">
        <v>28</v>
      </c>
      <c r="N706" s="2">
        <v>10401</v>
      </c>
    </row>
    <row r="707" spans="1:14">
      <c r="A707" s="6" t="s">
        <v>29</v>
      </c>
      <c r="B707" s="6" t="s">
        <v>30</v>
      </c>
      <c r="C707" s="6"/>
      <c r="D707" s="6">
        <v>3612</v>
      </c>
      <c r="E707" s="6" t="s">
        <v>23</v>
      </c>
      <c r="F707" s="2" t="s">
        <v>24</v>
      </c>
      <c r="G707" s="2" t="s">
        <v>863</v>
      </c>
      <c r="H707" s="2" t="s">
        <v>26</v>
      </c>
      <c r="I707" s="2"/>
      <c r="J707" s="2">
        <v>1317598</v>
      </c>
      <c r="K707" s="2">
        <v>4411</v>
      </c>
      <c r="L707" s="2" t="s">
        <v>27</v>
      </c>
      <c r="M707" s="2" t="s">
        <v>28</v>
      </c>
      <c r="N707" s="2">
        <v>10402</v>
      </c>
    </row>
    <row r="708" spans="1:14">
      <c r="A708" s="6" t="s">
        <v>32</v>
      </c>
      <c r="B708" s="6" t="s">
        <v>33</v>
      </c>
      <c r="C708" s="6"/>
      <c r="D708" s="6">
        <v>3612</v>
      </c>
      <c r="E708" s="6" t="s">
        <v>23</v>
      </c>
      <c r="F708" s="2" t="s">
        <v>24</v>
      </c>
      <c r="G708" s="2" t="s">
        <v>864</v>
      </c>
      <c r="H708" s="2" t="s">
        <v>26</v>
      </c>
      <c r="I708" s="2"/>
      <c r="J708" s="2">
        <v>1318932</v>
      </c>
      <c r="K708" s="2">
        <v>4411</v>
      </c>
      <c r="L708" s="2" t="s">
        <v>27</v>
      </c>
      <c r="M708" s="2" t="s">
        <v>28</v>
      </c>
      <c r="N708" s="2">
        <v>10403</v>
      </c>
    </row>
    <row r="709" spans="1:14">
      <c r="A709" s="6" t="s">
        <v>35</v>
      </c>
      <c r="B709" s="6" t="s">
        <v>36</v>
      </c>
      <c r="C709" s="6"/>
      <c r="D709" s="6">
        <v>3612</v>
      </c>
      <c r="E709" s="6" t="s">
        <v>23</v>
      </c>
      <c r="F709" s="2" t="s">
        <v>24</v>
      </c>
      <c r="G709" s="2" t="s">
        <v>865</v>
      </c>
      <c r="H709" s="2" t="s">
        <v>26</v>
      </c>
      <c r="I709" s="2"/>
      <c r="J709" s="2">
        <v>1317643</v>
      </c>
      <c r="K709" s="2">
        <v>4411</v>
      </c>
      <c r="L709" s="2" t="s">
        <v>27</v>
      </c>
      <c r="M709" s="2" t="s">
        <v>28</v>
      </c>
      <c r="N709" s="2">
        <v>3125</v>
      </c>
    </row>
    <row r="710" spans="1:14">
      <c r="A710" s="6" t="s">
        <v>38</v>
      </c>
      <c r="B710" s="6" t="s">
        <v>39</v>
      </c>
      <c r="C710" s="6"/>
      <c r="D710" s="6">
        <v>3612</v>
      </c>
      <c r="E710" s="6" t="s">
        <v>23</v>
      </c>
      <c r="F710" s="2" t="s">
        <v>24</v>
      </c>
      <c r="G710" s="2" t="s">
        <v>866</v>
      </c>
      <c r="H710" s="2" t="s">
        <v>26</v>
      </c>
      <c r="I710" s="2"/>
      <c r="J710" s="2">
        <v>1317931</v>
      </c>
      <c r="K710" s="2">
        <v>4411</v>
      </c>
      <c r="L710" s="2" t="s">
        <v>27</v>
      </c>
      <c r="M710" s="2" t="s">
        <v>28</v>
      </c>
      <c r="N710" s="2">
        <v>10404</v>
      </c>
    </row>
    <row r="711" spans="1:14">
      <c r="A711" s="6" t="s">
        <v>41</v>
      </c>
      <c r="B711" s="6" t="s">
        <v>42</v>
      </c>
      <c r="C711" s="6"/>
      <c r="D711" s="6">
        <v>3612</v>
      </c>
      <c r="E711" s="6" t="s">
        <v>23</v>
      </c>
      <c r="F711" s="2" t="s">
        <v>24</v>
      </c>
      <c r="G711" s="2" t="s">
        <v>867</v>
      </c>
      <c r="H711" s="2" t="s">
        <v>26</v>
      </c>
      <c r="I711" s="2"/>
      <c r="J711" s="2">
        <v>1316836</v>
      </c>
      <c r="K711" s="2">
        <v>4411</v>
      </c>
      <c r="L711" s="2" t="s">
        <v>27</v>
      </c>
      <c r="M711" s="2" t="s">
        <v>28</v>
      </c>
      <c r="N711" s="2">
        <v>10405</v>
      </c>
    </row>
    <row r="712" spans="1:14">
      <c r="A712" s="6" t="s">
        <v>44</v>
      </c>
      <c r="B712" s="6" t="s">
        <v>45</v>
      </c>
      <c r="C712" s="6"/>
      <c r="D712" s="6">
        <v>3612</v>
      </c>
      <c r="E712" s="6" t="s">
        <v>23</v>
      </c>
      <c r="F712" s="2" t="s">
        <v>24</v>
      </c>
      <c r="G712" s="2" t="s">
        <v>868</v>
      </c>
      <c r="H712" s="2" t="s">
        <v>26</v>
      </c>
      <c r="I712" s="2"/>
      <c r="J712" s="2">
        <v>1318924</v>
      </c>
      <c r="K712" s="2">
        <v>4411</v>
      </c>
      <c r="L712" s="2" t="s">
        <v>27</v>
      </c>
      <c r="M712" s="2" t="s">
        <v>28</v>
      </c>
      <c r="N712" s="2">
        <v>10407</v>
      </c>
    </row>
    <row r="713" spans="1:14">
      <c r="A713" s="6" t="s">
        <v>47</v>
      </c>
      <c r="B713" s="6" t="s">
        <v>48</v>
      </c>
      <c r="C713" s="6"/>
      <c r="D713" s="6">
        <v>3612</v>
      </c>
      <c r="E713" s="6" t="s">
        <v>23</v>
      </c>
      <c r="F713" s="2" t="s">
        <v>24</v>
      </c>
      <c r="G713" s="2" t="s">
        <v>869</v>
      </c>
      <c r="H713" s="2" t="s">
        <v>26</v>
      </c>
      <c r="I713" s="2"/>
      <c r="J713" s="2">
        <v>1316774</v>
      </c>
      <c r="K713" s="2">
        <v>4411</v>
      </c>
      <c r="L713" s="2" t="s">
        <v>27</v>
      </c>
      <c r="M713" s="2" t="s">
        <v>28</v>
      </c>
      <c r="N713" s="2">
        <v>10410</v>
      </c>
    </row>
    <row r="714" spans="1:14">
      <c r="A714" s="6" t="s">
        <v>50</v>
      </c>
      <c r="B714" s="6" t="s">
        <v>51</v>
      </c>
      <c r="C714" s="6"/>
      <c r="D714" s="6">
        <v>3612</v>
      </c>
      <c r="E714" s="6" t="s">
        <v>23</v>
      </c>
      <c r="F714" s="2" t="s">
        <v>24</v>
      </c>
      <c r="G714" s="2" t="s">
        <v>870</v>
      </c>
      <c r="H714" s="2" t="s">
        <v>26</v>
      </c>
      <c r="I714" s="2"/>
      <c r="J714" s="2">
        <v>1318814</v>
      </c>
      <c r="K714" s="2">
        <v>4411</v>
      </c>
      <c r="L714" s="2" t="s">
        <v>27</v>
      </c>
      <c r="M714" s="2" t="s">
        <v>28</v>
      </c>
      <c r="N714" s="2">
        <v>10411</v>
      </c>
    </row>
    <row r="715" spans="1:14">
      <c r="A715" s="6" t="s">
        <v>53</v>
      </c>
      <c r="B715" s="6" t="s">
        <v>54</v>
      </c>
      <c r="C715" s="6"/>
      <c r="D715" s="6">
        <v>3612</v>
      </c>
      <c r="E715" s="6" t="s">
        <v>23</v>
      </c>
      <c r="F715" s="2" t="s">
        <v>24</v>
      </c>
      <c r="G715" s="2" t="s">
        <v>871</v>
      </c>
      <c r="H715" s="2" t="s">
        <v>26</v>
      </c>
      <c r="I715" s="2"/>
      <c r="J715" s="2">
        <v>1319614</v>
      </c>
      <c r="K715" s="2">
        <v>4411</v>
      </c>
      <c r="L715" s="2" t="s">
        <v>27</v>
      </c>
      <c r="M715" s="2" t="s">
        <v>28</v>
      </c>
      <c r="N715" s="2">
        <v>10412</v>
      </c>
    </row>
    <row r="716" spans="1:14">
      <c r="A716" s="6" t="s">
        <v>56</v>
      </c>
      <c r="B716" s="6" t="s">
        <v>57</v>
      </c>
      <c r="C716" s="6"/>
      <c r="D716" s="6">
        <v>3612</v>
      </c>
      <c r="E716" s="6" t="s">
        <v>23</v>
      </c>
      <c r="F716" s="2" t="s">
        <v>24</v>
      </c>
      <c r="G716" s="2" t="s">
        <v>872</v>
      </c>
      <c r="H716" s="2" t="s">
        <v>26</v>
      </c>
      <c r="I716" s="2"/>
      <c r="J716" s="2">
        <v>1319601</v>
      </c>
      <c r="K716" s="2">
        <v>4411</v>
      </c>
      <c r="L716" s="2" t="s">
        <v>27</v>
      </c>
      <c r="M716" s="2" t="s">
        <v>28</v>
      </c>
      <c r="N716" s="2">
        <v>10414</v>
      </c>
    </row>
    <row r="717" spans="1:14">
      <c r="A717" s="6" t="s">
        <v>59</v>
      </c>
      <c r="B717" s="6" t="s">
        <v>60</v>
      </c>
      <c r="C717" s="6"/>
      <c r="D717" s="6">
        <v>3612</v>
      </c>
      <c r="E717" s="6" t="s">
        <v>23</v>
      </c>
      <c r="F717" s="2" t="s">
        <v>24</v>
      </c>
      <c r="G717" s="2" t="s">
        <v>873</v>
      </c>
      <c r="H717" s="2" t="s">
        <v>26</v>
      </c>
      <c r="I717" s="2"/>
      <c r="J717" s="2">
        <v>1319577</v>
      </c>
      <c r="K717" s="2">
        <v>4411</v>
      </c>
      <c r="L717" s="2" t="s">
        <v>27</v>
      </c>
      <c r="M717" s="2" t="s">
        <v>28</v>
      </c>
      <c r="N717" s="2">
        <v>10487</v>
      </c>
    </row>
    <row r="718" spans="1:14">
      <c r="A718" s="6" t="s">
        <v>62</v>
      </c>
      <c r="B718" s="6" t="s">
        <v>63</v>
      </c>
      <c r="C718" s="6"/>
      <c r="D718" s="6">
        <v>3612</v>
      </c>
      <c r="E718" s="6" t="s">
        <v>23</v>
      </c>
      <c r="F718" s="2" t="s">
        <v>24</v>
      </c>
      <c r="G718" s="2" t="s">
        <v>874</v>
      </c>
      <c r="H718" s="2" t="s">
        <v>26</v>
      </c>
      <c r="I718" s="2"/>
      <c r="J718" s="2">
        <v>1317135</v>
      </c>
      <c r="K718" s="2">
        <v>4411</v>
      </c>
      <c r="L718" s="2" t="s">
        <v>27</v>
      </c>
      <c r="M718" s="2" t="s">
        <v>28</v>
      </c>
      <c r="N718" s="2">
        <v>10416</v>
      </c>
    </row>
    <row r="719" spans="1:14">
      <c r="A719" s="6" t="s">
        <v>65</v>
      </c>
      <c r="B719" s="6" t="s">
        <v>66</v>
      </c>
      <c r="C719" s="6"/>
      <c r="D719" s="6">
        <v>3612</v>
      </c>
      <c r="E719" s="6" t="s">
        <v>23</v>
      </c>
      <c r="F719" s="2" t="s">
        <v>24</v>
      </c>
      <c r="G719" s="2" t="s">
        <v>875</v>
      </c>
      <c r="H719" s="2" t="s">
        <v>26</v>
      </c>
      <c r="I719" s="2"/>
      <c r="J719" s="2">
        <v>1319315</v>
      </c>
      <c r="K719" s="2">
        <v>4411</v>
      </c>
      <c r="L719" s="2" t="s">
        <v>27</v>
      </c>
      <c r="M719" s="2" t="s">
        <v>28</v>
      </c>
      <c r="N719" s="2">
        <v>1253</v>
      </c>
    </row>
    <row r="720" spans="1:14">
      <c r="A720" s="6" t="s">
        <v>68</v>
      </c>
      <c r="B720" s="6" t="s">
        <v>69</v>
      </c>
      <c r="C720" s="6"/>
      <c r="D720" s="6">
        <v>3612</v>
      </c>
      <c r="E720" s="6" t="s">
        <v>23</v>
      </c>
      <c r="F720" s="2" t="s">
        <v>24</v>
      </c>
      <c r="G720" s="2" t="s">
        <v>876</v>
      </c>
      <c r="H720" s="2" t="s">
        <v>26</v>
      </c>
      <c r="I720" s="2"/>
      <c r="J720" s="2">
        <v>1317288</v>
      </c>
      <c r="K720" s="2">
        <v>4411</v>
      </c>
      <c r="L720" s="2" t="s">
        <v>27</v>
      </c>
      <c r="M720" s="2" t="s">
        <v>28</v>
      </c>
      <c r="N720" s="2">
        <v>8468</v>
      </c>
    </row>
    <row r="721" spans="1:14">
      <c r="A721" s="6" t="s">
        <v>71</v>
      </c>
      <c r="B721" s="6" t="s">
        <v>72</v>
      </c>
      <c r="C721" s="6"/>
      <c r="D721" s="6">
        <v>3612</v>
      </c>
      <c r="E721" s="6" t="s">
        <v>23</v>
      </c>
      <c r="F721" s="2" t="s">
        <v>24</v>
      </c>
      <c r="G721" s="2" t="s">
        <v>877</v>
      </c>
      <c r="H721" s="2" t="s">
        <v>26</v>
      </c>
      <c r="I721" s="2"/>
      <c r="J721" s="2">
        <v>1316817</v>
      </c>
      <c r="K721" s="2">
        <v>4411</v>
      </c>
      <c r="L721" s="2" t="s">
        <v>27</v>
      </c>
      <c r="M721" s="2" t="s">
        <v>28</v>
      </c>
      <c r="N721" s="2">
        <v>4578</v>
      </c>
    </row>
    <row r="722" spans="1:14">
      <c r="A722" s="6" t="s">
        <v>74</v>
      </c>
      <c r="B722" s="6" t="s">
        <v>75</v>
      </c>
      <c r="C722" s="6"/>
      <c r="D722" s="6">
        <v>3612</v>
      </c>
      <c r="E722" s="6" t="s">
        <v>23</v>
      </c>
      <c r="F722" s="2" t="s">
        <v>24</v>
      </c>
      <c r="G722" s="2" t="s">
        <v>878</v>
      </c>
      <c r="H722" s="2" t="s">
        <v>26</v>
      </c>
      <c r="I722" s="2"/>
      <c r="J722" s="2">
        <v>1317384</v>
      </c>
      <c r="K722" s="2">
        <v>4411</v>
      </c>
      <c r="L722" s="2" t="s">
        <v>27</v>
      </c>
      <c r="M722" s="2" t="s">
        <v>28</v>
      </c>
      <c r="N722" s="2">
        <v>10419</v>
      </c>
    </row>
    <row r="723" spans="1:14">
      <c r="A723" s="6" t="s">
        <v>77</v>
      </c>
      <c r="B723" s="6" t="s">
        <v>78</v>
      </c>
      <c r="C723" s="6"/>
      <c r="D723" s="6">
        <v>3612</v>
      </c>
      <c r="E723" s="6" t="s">
        <v>23</v>
      </c>
      <c r="F723" s="2" t="s">
        <v>24</v>
      </c>
      <c r="G723" s="2" t="s">
        <v>879</v>
      </c>
      <c r="H723" s="2" t="s">
        <v>26</v>
      </c>
      <c r="I723" s="2"/>
      <c r="J723" s="2">
        <v>1318949</v>
      </c>
      <c r="K723" s="2">
        <v>4411</v>
      </c>
      <c r="L723" s="2" t="s">
        <v>27</v>
      </c>
      <c r="M723" s="2" t="s">
        <v>28</v>
      </c>
      <c r="N723" s="2">
        <v>10420</v>
      </c>
    </row>
    <row r="724" spans="1:14">
      <c r="A724" s="6" t="s">
        <v>80</v>
      </c>
      <c r="B724" s="6" t="s">
        <v>81</v>
      </c>
      <c r="C724" s="6"/>
      <c r="D724" s="6">
        <v>3612</v>
      </c>
      <c r="E724" s="6" t="s">
        <v>23</v>
      </c>
      <c r="F724" s="2" t="s">
        <v>24</v>
      </c>
      <c r="G724" s="2" t="s">
        <v>880</v>
      </c>
      <c r="H724" s="2" t="s">
        <v>26</v>
      </c>
      <c r="I724" s="2"/>
      <c r="J724" s="2">
        <v>1316787</v>
      </c>
      <c r="K724" s="2">
        <v>4411</v>
      </c>
      <c r="L724" s="2" t="s">
        <v>27</v>
      </c>
      <c r="M724" s="2" t="s">
        <v>28</v>
      </c>
      <c r="N724" s="2">
        <v>10421</v>
      </c>
    </row>
    <row r="725" spans="1:14">
      <c r="A725" s="6" t="s">
        <v>83</v>
      </c>
      <c r="B725" s="6" t="s">
        <v>84</v>
      </c>
      <c r="C725" s="6"/>
      <c r="D725" s="6">
        <v>3612</v>
      </c>
      <c r="E725" s="6" t="s">
        <v>23</v>
      </c>
      <c r="F725" s="2" t="s">
        <v>24</v>
      </c>
      <c r="G725" s="2" t="s">
        <v>881</v>
      </c>
      <c r="H725" s="2" t="s">
        <v>26</v>
      </c>
      <c r="I725" s="2"/>
      <c r="J725" s="2">
        <v>1319381</v>
      </c>
      <c r="K725" s="2">
        <v>4411</v>
      </c>
      <c r="L725" s="2" t="s">
        <v>27</v>
      </c>
      <c r="M725" s="2" t="s">
        <v>28</v>
      </c>
      <c r="N725" s="2">
        <v>10422</v>
      </c>
    </row>
    <row r="726" spans="1:14">
      <c r="A726" s="6" t="s">
        <v>89</v>
      </c>
      <c r="B726" s="6" t="s">
        <v>90</v>
      </c>
      <c r="C726" s="6"/>
      <c r="D726" s="6">
        <v>3612</v>
      </c>
      <c r="E726" s="6" t="s">
        <v>23</v>
      </c>
      <c r="F726" s="2" t="s">
        <v>24</v>
      </c>
      <c r="G726" s="2" t="s">
        <v>882</v>
      </c>
      <c r="H726" s="2" t="s">
        <v>26</v>
      </c>
      <c r="I726" s="2"/>
      <c r="J726" s="2">
        <v>1317052</v>
      </c>
      <c r="K726" s="2">
        <v>4411</v>
      </c>
      <c r="L726" s="2" t="s">
        <v>27</v>
      </c>
      <c r="M726" s="2" t="s">
        <v>28</v>
      </c>
      <c r="N726" s="2">
        <v>10424</v>
      </c>
    </row>
    <row r="727" spans="1:14">
      <c r="A727" s="6" t="s">
        <v>92</v>
      </c>
      <c r="B727" s="6" t="s">
        <v>93</v>
      </c>
      <c r="C727" s="6"/>
      <c r="D727" s="6">
        <v>3612</v>
      </c>
      <c r="E727" s="6" t="s">
        <v>23</v>
      </c>
      <c r="F727" s="2" t="s">
        <v>24</v>
      </c>
      <c r="G727" s="2" t="s">
        <v>883</v>
      </c>
      <c r="H727" s="2" t="s">
        <v>26</v>
      </c>
      <c r="I727" s="2"/>
      <c r="J727" s="2">
        <v>1319597</v>
      </c>
      <c r="K727" s="2">
        <v>4411</v>
      </c>
      <c r="L727" s="2" t="s">
        <v>27</v>
      </c>
      <c r="M727" s="2" t="s">
        <v>28</v>
      </c>
      <c r="N727" s="2">
        <v>10425</v>
      </c>
    </row>
    <row r="728" spans="1:14">
      <c r="A728" s="6" t="s">
        <v>95</v>
      </c>
      <c r="B728" s="6" t="s">
        <v>96</v>
      </c>
      <c r="C728" s="6"/>
      <c r="D728" s="6">
        <v>3612</v>
      </c>
      <c r="E728" s="6" t="s">
        <v>23</v>
      </c>
      <c r="F728" s="2" t="s">
        <v>24</v>
      </c>
      <c r="G728" s="2" t="s">
        <v>884</v>
      </c>
      <c r="H728" s="2" t="s">
        <v>26</v>
      </c>
      <c r="I728" s="2"/>
      <c r="J728" s="2">
        <v>1317587</v>
      </c>
      <c r="K728" s="2">
        <v>4411</v>
      </c>
      <c r="L728" s="2" t="s">
        <v>27</v>
      </c>
      <c r="M728" s="2" t="s">
        <v>28</v>
      </c>
      <c r="N728" s="2">
        <v>10426</v>
      </c>
    </row>
    <row r="729" spans="1:14">
      <c r="A729" s="7" t="s">
        <v>98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>
        <f>ROWS(A705:N728)</f>
        <v>24</v>
      </c>
    </row>
    <row r="730" spans="1:14">
      <c r="A730" s="7" t="s">
        <v>98</v>
      </c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>
        <f>ROWS(A705:N728)</f>
        <v>24</v>
      </c>
    </row>
    <row r="731" spans="1:14">
      <c r="A731" s="7" t="s">
        <v>98</v>
      </c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>
        <f>ROWS(A7:N30) + ROWS(A36:N37) + ROWS(A43:N47) + ROWS(A51:N54) + ROWS(A60:N104) + ROWS(A110:N122) + ROWS(A128:N144) + ROWS(A150:N156) + ROWS(A160:N160) + ROWS(A164:N164) + ROWS(A170:N188) + ROWS(A194:N236) + ROWS(A242:N255) + ROWS(A261:N262) + ROWS(A266:N266) + ROWS(A272:N294) + ROWS(A300:N309) + ROWS(A313:N313) + ROWS(A319:N327) + ROWS(A331:N331) + ROWS(A337:N345) + ROWS(A351:N359) + ROWS(A365:N374) + ROWS(A380:N392) + ROWS(A398:N404) + ROWS(A410:N434) + ROWS(A440:N448) + ROWS(A454:N463) + ROWS(A469:N481) + ROWS(A487:N494) + ROWS(A498:N499) + ROWS(A503:N503) + ROWS(A509:N510) + ROWS(A516:N520) + ROWS(A526:N536) + ROWS(A542:N550) + ROWS(A556:N557) + ROWS(A563:N564) + ROWS(A570:N592) + ROWS(A598:N640) + ROWS(A646:N650) + ROWS(A656:N664) + ROWS(A670:N682) + ROWS(A688:N699) + ROWS(A705:N728)</f>
        <v>518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31:M31"/>
    <mergeCell ref="A32:M32"/>
    <mergeCell ref="A33:N33"/>
    <mergeCell ref="A34:N34"/>
    <mergeCell ref="A38:M38"/>
    <mergeCell ref="A39:M39"/>
    <mergeCell ref="A40:N40"/>
    <mergeCell ref="A41:N41"/>
    <mergeCell ref="A48:M48"/>
    <mergeCell ref="A49:N49"/>
    <mergeCell ref="A55:M55"/>
    <mergeCell ref="A56:M56"/>
    <mergeCell ref="A57:N57"/>
    <mergeCell ref="A58:N58"/>
    <mergeCell ref="A105:M105"/>
    <mergeCell ref="A106:M106"/>
    <mergeCell ref="A107:N107"/>
    <mergeCell ref="A108:N108"/>
    <mergeCell ref="A123:M123"/>
    <mergeCell ref="A124:M124"/>
    <mergeCell ref="A125:N125"/>
    <mergeCell ref="A126:N126"/>
    <mergeCell ref="A145:M145"/>
    <mergeCell ref="A146:M146"/>
    <mergeCell ref="A147:N147"/>
    <mergeCell ref="A148:N148"/>
    <mergeCell ref="A157:M157"/>
    <mergeCell ref="A158:N158"/>
    <mergeCell ref="A161:M161"/>
    <mergeCell ref="A162:N162"/>
    <mergeCell ref="A165:M165"/>
    <mergeCell ref="A166:M166"/>
    <mergeCell ref="A167:N167"/>
    <mergeCell ref="A168:N168"/>
    <mergeCell ref="A189:M189"/>
    <mergeCell ref="A190:M190"/>
    <mergeCell ref="A191:N191"/>
    <mergeCell ref="A192:N192"/>
    <mergeCell ref="A237:M237"/>
    <mergeCell ref="A238:M238"/>
    <mergeCell ref="A239:N239"/>
    <mergeCell ref="A240:N240"/>
    <mergeCell ref="A256:M256"/>
    <mergeCell ref="A257:M257"/>
    <mergeCell ref="A258:N258"/>
    <mergeCell ref="A259:N259"/>
    <mergeCell ref="A263:M263"/>
    <mergeCell ref="A264:N264"/>
    <mergeCell ref="A267:M267"/>
    <mergeCell ref="A268:M268"/>
    <mergeCell ref="A269:N269"/>
    <mergeCell ref="A270:N270"/>
    <mergeCell ref="A295:M295"/>
    <mergeCell ref="A296:M296"/>
    <mergeCell ref="A297:N297"/>
    <mergeCell ref="A298:N298"/>
    <mergeCell ref="A310:M310"/>
    <mergeCell ref="A311:N311"/>
    <mergeCell ref="A314:M314"/>
    <mergeCell ref="A315:M315"/>
    <mergeCell ref="A316:N316"/>
    <mergeCell ref="A317:N317"/>
    <mergeCell ref="A328:M328"/>
    <mergeCell ref="A329:N329"/>
    <mergeCell ref="A332:M332"/>
    <mergeCell ref="A333:M333"/>
    <mergeCell ref="A334:N334"/>
    <mergeCell ref="A335:N335"/>
    <mergeCell ref="A346:M346"/>
    <mergeCell ref="A347:M347"/>
    <mergeCell ref="A348:N348"/>
    <mergeCell ref="A349:N349"/>
    <mergeCell ref="A360:M360"/>
    <mergeCell ref="A361:M361"/>
    <mergeCell ref="A362:N362"/>
    <mergeCell ref="A363:N363"/>
    <mergeCell ref="A375:M375"/>
    <mergeCell ref="A376:M376"/>
    <mergeCell ref="A377:N377"/>
    <mergeCell ref="A378:N378"/>
    <mergeCell ref="A393:M393"/>
    <mergeCell ref="A394:M394"/>
    <mergeCell ref="A395:N395"/>
    <mergeCell ref="A396:N396"/>
    <mergeCell ref="A405:M405"/>
    <mergeCell ref="A406:M406"/>
    <mergeCell ref="A407:N407"/>
    <mergeCell ref="A408:N408"/>
    <mergeCell ref="A435:M435"/>
    <mergeCell ref="A436:M436"/>
    <mergeCell ref="A437:N437"/>
    <mergeCell ref="A438:N438"/>
    <mergeCell ref="A449:M449"/>
    <mergeCell ref="A450:M450"/>
    <mergeCell ref="A451:N451"/>
    <mergeCell ref="A452:N452"/>
    <mergeCell ref="A464:M464"/>
    <mergeCell ref="A465:M465"/>
    <mergeCell ref="A466:N466"/>
    <mergeCell ref="A467:N467"/>
    <mergeCell ref="A482:M482"/>
    <mergeCell ref="A483:M483"/>
    <mergeCell ref="A484:N484"/>
    <mergeCell ref="A485:N485"/>
    <mergeCell ref="A495:M495"/>
    <mergeCell ref="A496:N496"/>
    <mergeCell ref="A500:M500"/>
    <mergeCell ref="A501:N501"/>
    <mergeCell ref="A504:M504"/>
    <mergeCell ref="A505:M505"/>
    <mergeCell ref="A506:N506"/>
    <mergeCell ref="A507:N507"/>
    <mergeCell ref="A511:M511"/>
    <mergeCell ref="A512:M512"/>
    <mergeCell ref="A513:N513"/>
    <mergeCell ref="A514:N514"/>
    <mergeCell ref="A521:M521"/>
    <mergeCell ref="A522:M522"/>
    <mergeCell ref="A523:N523"/>
    <mergeCell ref="A524:N524"/>
    <mergeCell ref="A537:M537"/>
    <mergeCell ref="A538:M538"/>
    <mergeCell ref="A539:N539"/>
    <mergeCell ref="A540:N540"/>
    <mergeCell ref="A551:M551"/>
    <mergeCell ref="A552:M552"/>
    <mergeCell ref="A553:N553"/>
    <mergeCell ref="A554:N554"/>
    <mergeCell ref="A558:M558"/>
    <mergeCell ref="A559:M559"/>
    <mergeCell ref="A560:N560"/>
    <mergeCell ref="A561:N561"/>
    <mergeCell ref="A565:M565"/>
    <mergeCell ref="A566:M566"/>
    <mergeCell ref="A567:N567"/>
    <mergeCell ref="A568:N568"/>
    <mergeCell ref="A593:M593"/>
    <mergeCell ref="A594:M594"/>
    <mergeCell ref="A595:N595"/>
    <mergeCell ref="A596:N596"/>
    <mergeCell ref="A641:M641"/>
    <mergeCell ref="A642:M642"/>
    <mergeCell ref="A643:N643"/>
    <mergeCell ref="A644:N644"/>
    <mergeCell ref="A651:M651"/>
    <mergeCell ref="A652:M652"/>
    <mergeCell ref="A653:N653"/>
    <mergeCell ref="A654:N654"/>
    <mergeCell ref="A665:M665"/>
    <mergeCell ref="A666:M666"/>
    <mergeCell ref="A667:N667"/>
    <mergeCell ref="A668:N668"/>
    <mergeCell ref="A683:M683"/>
    <mergeCell ref="A684:M684"/>
    <mergeCell ref="A685:N685"/>
    <mergeCell ref="A686:N686"/>
    <mergeCell ref="A700:M700"/>
    <mergeCell ref="A701:M701"/>
    <mergeCell ref="A702:N702"/>
    <mergeCell ref="A703:N703"/>
    <mergeCell ref="A729:M729"/>
    <mergeCell ref="A730:M730"/>
    <mergeCell ref="A731:M7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2025-11-06T15:45:56-03:00</dcterms:created>
  <dcterms:modified xsi:type="dcterms:W3CDTF">2025-11-06T15:45:56-03:00</dcterms:modified>
  <dc:title>Untitled Spreadsheet</dc:title>
  <dc:description/>
  <dc:subject/>
  <cp:keywords/>
  <cp:category/>
</cp:coreProperties>
</file>